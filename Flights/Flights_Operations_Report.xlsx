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Work\1-Excel\Reports\Dynamic_Reports_Practice_Bundle\"/>
    </mc:Choice>
  </mc:AlternateContent>
  <xr:revisionPtr revIDLastSave="0" documentId="13_ncr:1_{F487A6EB-AC2A-42F5-8E6D-F7C76EE53AAA}" xr6:coauthVersionLast="47" xr6:coauthVersionMax="47" xr10:uidLastSave="{00000000-0000-0000-0000-000000000000}"/>
  <bookViews>
    <workbookView xWindow="300" yWindow="0" windowWidth="20190" windowHeight="11520" tabRatio="711" activeTab="9" xr2:uid="{00000000-000D-0000-FFFF-FFFF00000000}"/>
  </bookViews>
  <sheets>
    <sheet name="Brief" sheetId="2" r:id="rId1"/>
    <sheet name="Dataset" sheetId="1" r:id="rId2"/>
    <sheet name="report 1" sheetId="3" r:id="rId3"/>
    <sheet name="Report 2" sheetId="4" r:id="rId4"/>
    <sheet name="Report 3" sheetId="5" r:id="rId5"/>
    <sheet name="report 4" sheetId="6" r:id="rId6"/>
    <sheet name="report 5" sheetId="7" r:id="rId7"/>
    <sheet name="report 6" sheetId="8" r:id="rId8"/>
    <sheet name="report 7" sheetId="9" r:id="rId9"/>
    <sheet name="report 8" sheetId="11" r:id="rId10"/>
  </sheets>
  <definedNames>
    <definedName name="Slicer_Origin">#N/A</definedName>
  </definedNames>
  <calcPr calcId="191029" iterateDelta="1E-4"/>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C10" i="11" l="1"/>
  <c r="B10" i="11"/>
  <c r="E9" i="3"/>
  <c r="D9" i="3"/>
  <c r="E6" i="3"/>
  <c r="E7" i="3"/>
  <c r="E8" i="3"/>
  <c r="E5" i="3"/>
  <c r="D10" i="8" l="1"/>
  <c r="C10" i="8"/>
  <c r="B10" i="8"/>
  <c r="C5" i="7"/>
  <c r="C6" i="7"/>
  <c r="C7" i="7"/>
  <c r="C8" i="7"/>
  <c r="C9" i="7"/>
  <c r="C10" i="7"/>
  <c r="C11" i="7"/>
  <c r="C12" i="7"/>
  <c r="C13" i="7"/>
  <c r="C14" i="7"/>
  <c r="C15" i="7"/>
  <c r="C16" i="7"/>
  <c r="C17" i="7"/>
  <c r="C18" i="7"/>
  <c r="C19" i="7"/>
  <c r="C20" i="7"/>
  <c r="C21" i="7"/>
  <c r="C22" i="7"/>
  <c r="C23" i="7"/>
  <c r="C24" i="7"/>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B6" i="5" a="1"/>
  <c r="B6" i="5"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D5" i="3" a="1"/>
  <c r="D5" i="3" s="1"/>
  <c r="A5" i="4" l="1" a="1"/>
  <c r="A5" i="4" s="1"/>
  <c r="B5" i="4" s="1" a="1"/>
  <c r="B5"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<sst xmlns="http://schemas.openxmlformats.org/spreadsheetml/2006/main" count="2089" uniqueCount="380">
  <si>
    <t>Flights — Operations Dataset</t>
  </si>
  <si>
    <t>Airline</t>
  </si>
  <si>
    <t>Origin</t>
  </si>
  <si>
    <t>Destination</t>
  </si>
  <si>
    <t>ScheduledDeparture</t>
  </si>
  <si>
    <t>DelayMinutes</t>
  </si>
  <si>
    <t>AircraftType</t>
  </si>
  <si>
    <t>SeatsAvailable</t>
  </si>
  <si>
    <t>SeatsSold</t>
  </si>
  <si>
    <t>Class</t>
  </si>
  <si>
    <t>AvgTicketPrice</t>
  </si>
  <si>
    <t>DelayReason</t>
  </si>
  <si>
    <t>FL2000</t>
  </si>
  <si>
    <t>Fly Jinnah</t>
  </si>
  <si>
    <t>Karachi</t>
  </si>
  <si>
    <t>Islamabad</t>
  </si>
  <si>
    <t>Boeing 737</t>
  </si>
  <si>
    <t>Economy</t>
  </si>
  <si>
    <t>None</t>
  </si>
  <si>
    <t>FL2001</t>
  </si>
  <si>
    <t>ATR 72</t>
  </si>
  <si>
    <t>Technical</t>
  </si>
  <si>
    <t>FL2002</t>
  </si>
  <si>
    <t>AirBlue</t>
  </si>
  <si>
    <t>Lahore</t>
  </si>
  <si>
    <t>Business</t>
  </si>
  <si>
    <t>Weather</t>
  </si>
  <si>
    <t>FL2003</t>
  </si>
  <si>
    <t>London</t>
  </si>
  <si>
    <t>FL2004</t>
  </si>
  <si>
    <t>Dubai</t>
  </si>
  <si>
    <t>Airbus A321</t>
  </si>
  <si>
    <t>FL2005</t>
  </si>
  <si>
    <t>SereneAir</t>
  </si>
  <si>
    <t>FL2006</t>
  </si>
  <si>
    <t>Airbus A320</t>
  </si>
  <si>
    <t>FL2007</t>
  </si>
  <si>
    <t>Jeddah</t>
  </si>
  <si>
    <t>FL2008</t>
  </si>
  <si>
    <t>Air Traffic Control</t>
  </si>
  <si>
    <t>FL2009</t>
  </si>
  <si>
    <t>FL2010</t>
  </si>
  <si>
    <t>PIA</t>
  </si>
  <si>
    <t>FL2011</t>
  </si>
  <si>
    <t>FL2012</t>
  </si>
  <si>
    <t>FL2013</t>
  </si>
  <si>
    <t>FL2014</t>
  </si>
  <si>
    <t>FL2015</t>
  </si>
  <si>
    <t>FL2016</t>
  </si>
  <si>
    <t>Crew</t>
  </si>
  <si>
    <t>FL2017</t>
  </si>
  <si>
    <t>FL2018</t>
  </si>
  <si>
    <t>FL2019</t>
  </si>
  <si>
    <t>FL2020</t>
  </si>
  <si>
    <t>FL2021</t>
  </si>
  <si>
    <t>FL2022</t>
  </si>
  <si>
    <t>FL2023</t>
  </si>
  <si>
    <t>FL2024</t>
  </si>
  <si>
    <t>FL2025</t>
  </si>
  <si>
    <t>FL2026</t>
  </si>
  <si>
    <t>FL2027</t>
  </si>
  <si>
    <t>FL2028</t>
  </si>
  <si>
    <t>FL2029</t>
  </si>
  <si>
    <t>FL2030</t>
  </si>
  <si>
    <t>FL2031</t>
  </si>
  <si>
    <t>FL2032</t>
  </si>
  <si>
    <t>FL2033</t>
  </si>
  <si>
    <t>FL2034</t>
  </si>
  <si>
    <t>FL2035</t>
  </si>
  <si>
    <t>FL2036</t>
  </si>
  <si>
    <t>FL2037</t>
  </si>
  <si>
    <t>FL2038</t>
  </si>
  <si>
    <t>FL2039</t>
  </si>
  <si>
    <t>FL2040</t>
  </si>
  <si>
    <t>FL2041</t>
  </si>
  <si>
    <t>FL2042</t>
  </si>
  <si>
    <t>FL2043</t>
  </si>
  <si>
    <t>FL2044</t>
  </si>
  <si>
    <t>FL2045</t>
  </si>
  <si>
    <t>FL2046</t>
  </si>
  <si>
    <t>FL2047</t>
  </si>
  <si>
    <t>FL2048</t>
  </si>
  <si>
    <t>FL2049</t>
  </si>
  <si>
    <t>FL2050</t>
  </si>
  <si>
    <t>FL2051</t>
  </si>
  <si>
    <t>FL2052</t>
  </si>
  <si>
    <t>FL2053</t>
  </si>
  <si>
    <t>FL2054</t>
  </si>
  <si>
    <t>FL2055</t>
  </si>
  <si>
    <t>FL2056</t>
  </si>
  <si>
    <t>FL2057</t>
  </si>
  <si>
    <t>FL2058</t>
  </si>
  <si>
    <t>FL2059</t>
  </si>
  <si>
    <t>FL2060</t>
  </si>
  <si>
    <t>FL2061</t>
  </si>
  <si>
    <t>FL2062</t>
  </si>
  <si>
    <t>FL2063</t>
  </si>
  <si>
    <t>FL2064</t>
  </si>
  <si>
    <t>FL2065</t>
  </si>
  <si>
    <t>FL2066</t>
  </si>
  <si>
    <t>FL2067</t>
  </si>
  <si>
    <t>FL2068</t>
  </si>
  <si>
    <t>FL2069</t>
  </si>
  <si>
    <t>FL2070</t>
  </si>
  <si>
    <t>FL2071</t>
  </si>
  <si>
    <t>FL2072</t>
  </si>
  <si>
    <t>FL2073</t>
  </si>
  <si>
    <t>FL2074</t>
  </si>
  <si>
    <t>FL2075</t>
  </si>
  <si>
    <t>FL2076</t>
  </si>
  <si>
    <t>FL2077</t>
  </si>
  <si>
    <t>FL2078</t>
  </si>
  <si>
    <t>FL2079</t>
  </si>
  <si>
    <t>FL2080</t>
  </si>
  <si>
    <t>FL2081</t>
  </si>
  <si>
    <t>FL2082</t>
  </si>
  <si>
    <t>FL2083</t>
  </si>
  <si>
    <t>FL2084</t>
  </si>
  <si>
    <t>FL2085</t>
  </si>
  <si>
    <t>FL2086</t>
  </si>
  <si>
    <t>FL2087</t>
  </si>
  <si>
    <t>FL2088</t>
  </si>
  <si>
    <t>FL2089</t>
  </si>
  <si>
    <t>FL2090</t>
  </si>
  <si>
    <t>FL2091</t>
  </si>
  <si>
    <t>FL2092</t>
  </si>
  <si>
    <t>FL2093</t>
  </si>
  <si>
    <t>FL2094</t>
  </si>
  <si>
    <t>FL2095</t>
  </si>
  <si>
    <t>FL2096</t>
  </si>
  <si>
    <t>FL2097</t>
  </si>
  <si>
    <t>FL2098</t>
  </si>
  <si>
    <t>FL2099</t>
  </si>
  <si>
    <t>FL2100</t>
  </si>
  <si>
    <t>FL2101</t>
  </si>
  <si>
    <t>FL2102</t>
  </si>
  <si>
    <t>FL2103</t>
  </si>
  <si>
    <t>FL2104</t>
  </si>
  <si>
    <t>FL2105</t>
  </si>
  <si>
    <t>FL2106</t>
  </si>
  <si>
    <t>FL2107</t>
  </si>
  <si>
    <t>FL2108</t>
  </si>
  <si>
    <t>FL2109</t>
  </si>
  <si>
    <t>FL2110</t>
  </si>
  <si>
    <t>FL2111</t>
  </si>
  <si>
    <t>FL2112</t>
  </si>
  <si>
    <t>FL2113</t>
  </si>
  <si>
    <t>FL2114</t>
  </si>
  <si>
    <t>FL2115</t>
  </si>
  <si>
    <t>FL2116</t>
  </si>
  <si>
    <t>FL2117</t>
  </si>
  <si>
    <t>FL2118</t>
  </si>
  <si>
    <t>FL2119</t>
  </si>
  <si>
    <t>FL2120</t>
  </si>
  <si>
    <t>FL2121</t>
  </si>
  <si>
    <t>FL2122</t>
  </si>
  <si>
    <t>FL2123</t>
  </si>
  <si>
    <t>FL2124</t>
  </si>
  <si>
    <t>FL2125</t>
  </si>
  <si>
    <t>FL2126</t>
  </si>
  <si>
    <t>FL2127</t>
  </si>
  <si>
    <t>FL2128</t>
  </si>
  <si>
    <t>FL2129</t>
  </si>
  <si>
    <t>FL2130</t>
  </si>
  <si>
    <t>FL2131</t>
  </si>
  <si>
    <t>FL2132</t>
  </si>
  <si>
    <t>FL2133</t>
  </si>
  <si>
    <t>FL2134</t>
  </si>
  <si>
    <t>FL2135</t>
  </si>
  <si>
    <t>FL2136</t>
  </si>
  <si>
    <t>FL2137</t>
  </si>
  <si>
    <t>FL2138</t>
  </si>
  <si>
    <t>FL2139</t>
  </si>
  <si>
    <t>FL2140</t>
  </si>
  <si>
    <t>FL2141</t>
  </si>
  <si>
    <t>FL2142</t>
  </si>
  <si>
    <t>FL2143</t>
  </si>
  <si>
    <t>FL2144</t>
  </si>
  <si>
    <t>FL2145</t>
  </si>
  <si>
    <t>FL2146</t>
  </si>
  <si>
    <t>FL2147</t>
  </si>
  <si>
    <t>FL2148</t>
  </si>
  <si>
    <t>FL2149</t>
  </si>
  <si>
    <t>FL2150</t>
  </si>
  <si>
    <t>FL2151</t>
  </si>
  <si>
    <t>FL2152</t>
  </si>
  <si>
    <t>FL2153</t>
  </si>
  <si>
    <t>FL2154</t>
  </si>
  <si>
    <t>FL2155</t>
  </si>
  <si>
    <t>FL2156</t>
  </si>
  <si>
    <t>FL2157</t>
  </si>
  <si>
    <t>FL2158</t>
  </si>
  <si>
    <t>FL2159</t>
  </si>
  <si>
    <t>FL2160</t>
  </si>
  <si>
    <t>FL2161</t>
  </si>
  <si>
    <t>FL2162</t>
  </si>
  <si>
    <t>FL2163</t>
  </si>
  <si>
    <t>FL2164</t>
  </si>
  <si>
    <t>FL2165</t>
  </si>
  <si>
    <t>FL2166</t>
  </si>
  <si>
    <t>FL2167</t>
  </si>
  <si>
    <t>FL2168</t>
  </si>
  <si>
    <t>FL2169</t>
  </si>
  <si>
    <t>FL2170</t>
  </si>
  <si>
    <t>FL2171</t>
  </si>
  <si>
    <t>FL2172</t>
  </si>
  <si>
    <t>FL2173</t>
  </si>
  <si>
    <t>FL2174</t>
  </si>
  <si>
    <t>FL2175</t>
  </si>
  <si>
    <t>FL2176</t>
  </si>
  <si>
    <t>FL2177</t>
  </si>
  <si>
    <t>FL2178</t>
  </si>
  <si>
    <t>FL2179</t>
  </si>
  <si>
    <t>FL2180</t>
  </si>
  <si>
    <t>FL2181</t>
  </si>
  <si>
    <t>FL2182</t>
  </si>
  <si>
    <t>FL2183</t>
  </si>
  <si>
    <t>FL2184</t>
  </si>
  <si>
    <t>FL2185</t>
  </si>
  <si>
    <t>FL2186</t>
  </si>
  <si>
    <t>FL2187</t>
  </si>
  <si>
    <t>FL2188</t>
  </si>
  <si>
    <t>FL2189</t>
  </si>
  <si>
    <t>FL2190</t>
  </si>
  <si>
    <t>FL2191</t>
  </si>
  <si>
    <t>FL2192</t>
  </si>
  <si>
    <t>FL2193</t>
  </si>
  <si>
    <t>FL2194</t>
  </si>
  <si>
    <t>FL2195</t>
  </si>
  <si>
    <t>FL2196</t>
  </si>
  <si>
    <t>FL2197</t>
  </si>
  <si>
    <t>FL2198</t>
  </si>
  <si>
    <t>FL2199</t>
  </si>
  <si>
    <t>FL2200</t>
  </si>
  <si>
    <t>FL2201</t>
  </si>
  <si>
    <t>FL2202</t>
  </si>
  <si>
    <t>FL2203</t>
  </si>
  <si>
    <t>FL2204</t>
  </si>
  <si>
    <t>FL2205</t>
  </si>
  <si>
    <t>FL2206</t>
  </si>
  <si>
    <t>FL2207</t>
  </si>
  <si>
    <t>FL2208</t>
  </si>
  <si>
    <t>FL2209</t>
  </si>
  <si>
    <t>FL2210</t>
  </si>
  <si>
    <t>FL2211</t>
  </si>
  <si>
    <t>FL2212</t>
  </si>
  <si>
    <t>FL2213</t>
  </si>
  <si>
    <t>FL2214</t>
  </si>
  <si>
    <t>FL2215</t>
  </si>
  <si>
    <t>FL2216</t>
  </si>
  <si>
    <t>FL2217</t>
  </si>
  <si>
    <t>FL2218</t>
  </si>
  <si>
    <t>FL2219</t>
  </si>
  <si>
    <t>FL2220</t>
  </si>
  <si>
    <t>FL2221</t>
  </si>
  <si>
    <t>FL2222</t>
  </si>
  <si>
    <t>FL2223</t>
  </si>
  <si>
    <t>FL2224</t>
  </si>
  <si>
    <t>FL2225</t>
  </si>
  <si>
    <t>FL2226</t>
  </si>
  <si>
    <t>FL2227</t>
  </si>
  <si>
    <t>FL2228</t>
  </si>
  <si>
    <t>FL2229</t>
  </si>
  <si>
    <t>FL2230</t>
  </si>
  <si>
    <t>FL2231</t>
  </si>
  <si>
    <t>FL2232</t>
  </si>
  <si>
    <t>FL2233</t>
  </si>
  <si>
    <t>FL2234</t>
  </si>
  <si>
    <t>FL2235</t>
  </si>
  <si>
    <t>FL2236</t>
  </si>
  <si>
    <t>FL2237</t>
  </si>
  <si>
    <t>FL2238</t>
  </si>
  <si>
    <t>FL2239</t>
  </si>
  <si>
    <t>FL2240</t>
  </si>
  <si>
    <t>FL2241</t>
  </si>
  <si>
    <t>FL2242</t>
  </si>
  <si>
    <t>FL2243</t>
  </si>
  <si>
    <t>FL2244</t>
  </si>
  <si>
    <t>FL2245</t>
  </si>
  <si>
    <t>FL2246</t>
  </si>
  <si>
    <t>FL2247</t>
  </si>
  <si>
    <t>FL2248</t>
  </si>
  <si>
    <t>FL2249</t>
  </si>
  <si>
    <t>FL2250</t>
  </si>
  <si>
    <t>FL2251</t>
  </si>
  <si>
    <t>FL2252</t>
  </si>
  <si>
    <t>FL2253</t>
  </si>
  <si>
    <t>FL2254</t>
  </si>
  <si>
    <t>FL2255</t>
  </si>
  <si>
    <t>FL2256</t>
  </si>
  <si>
    <t>FL2257</t>
  </si>
  <si>
    <t>FL2258</t>
  </si>
  <si>
    <t>FL2259</t>
  </si>
  <si>
    <t>FL2260</t>
  </si>
  <si>
    <t>FL2261</t>
  </si>
  <si>
    <t>FL2262</t>
  </si>
  <si>
    <t>FL2263</t>
  </si>
  <si>
    <t>FL2264</t>
  </si>
  <si>
    <t>FL2265</t>
  </si>
  <si>
    <t>FL2266</t>
  </si>
  <si>
    <t>FL2267</t>
  </si>
  <si>
    <t>FL2268</t>
  </si>
  <si>
    <t>FL2269</t>
  </si>
  <si>
    <t>FL2270</t>
  </si>
  <si>
    <t>FL2271</t>
  </si>
  <si>
    <t>FL2272</t>
  </si>
  <si>
    <t>FL2273</t>
  </si>
  <si>
    <t>FL2274</t>
  </si>
  <si>
    <t>FL2275</t>
  </si>
  <si>
    <t>FL2276</t>
  </si>
  <si>
    <t>FL2277</t>
  </si>
  <si>
    <t>FL2278</t>
  </si>
  <si>
    <t>FL2279</t>
  </si>
  <si>
    <t>Dynamic Reports Brief — Flights</t>
  </si>
  <si>
    <t>Domain: Flights / Airline Operations</t>
  </si>
  <si>
    <t>Build the reports below using the Dataset sheet. Create a NEW sheet for each report</t>
  </si>
  <si>
    <t>(e.g. 'Report 1', 'Report 2'...). Don't overwrite the raw data.</t>
  </si>
  <si>
    <t>Route = Origin-Destination combination (you may need a helper column for this).</t>
  </si>
  <si>
    <t>Column Reference</t>
  </si>
  <si>
    <t>FlightID — Unique flight identifier</t>
  </si>
  <si>
    <t>Airline — PIA, AirBlue, SereneAir, Fly Jinnah</t>
  </si>
  <si>
    <t>Origin — Departure city</t>
  </si>
  <si>
    <t>Destination — Arrival city</t>
  </si>
  <si>
    <t>ScheduledDeparture — Scheduled departure date &amp; time</t>
  </si>
  <si>
    <t>DelayMinutes — Minutes of delay (0 = on time)</t>
  </si>
  <si>
    <t>AircraftType — Boeing 737, Airbus A320, ATR 72, Airbus A321</t>
  </si>
  <si>
    <t>SeatsAvailable — Total seats on the aircraft</t>
  </si>
  <si>
    <t>SeatsSold — Seats sold for this flight</t>
  </si>
  <si>
    <t>Class — Economy or Business</t>
  </si>
  <si>
    <t>AvgTicketPrice — Average ticket price for this flight (PKR)</t>
  </si>
  <si>
    <t>DelayReason — Weather, Technical, Air Traffic Control, Crew, or None</t>
  </si>
  <si>
    <t>Your Tasks</t>
  </si>
  <si>
    <t>Task 1: On-Time Performance by Airline (PivotTable)</t>
  </si>
  <si>
    <t>Build a PivotTable showing, for each Airline: total flights, count of flights with DelayMinutes&gt;15, and the on-time percentage (calculated field or separate column).</t>
  </si>
  <si>
    <t>Hint: Add a helper column 'IsDelayed' (IF DelayMinutes&gt;15,1,0), then PivotTable with Sum of flights and Sum of IsDelayed.</t>
  </si>
  <si>
    <t>Task 2: Route Load Factor Report (Formulas)</t>
  </si>
  <si>
    <t>Create a helper column 'Route' (Origin &amp; "-" &amp; Destination). Then for each unique route, calculate average load factor (SeatsSold/SeatsAvailable) using AVERAGEIFS or SUMPRODUCT-based formulas.</t>
  </si>
  <si>
    <t>Hint: Load Factor per flight = SeatsSold/SeatsAvailable, then AVERAGEIFS grouped by Route.</t>
  </si>
  <si>
    <t>Task 3: Delay Reason Breakdown (Pie Chart)</t>
  </si>
  <si>
    <t>Count flights by DelayReason using COUNTIF, then build a pie chart showing the proportion of delays attributable to each cause (excluding 'None').</t>
  </si>
  <si>
    <t>Hint: COUNTIF for each reason, exclude 'None' from the chart data range.</t>
  </si>
  <si>
    <t>Task 4: Revenue Estimation Dashboard</t>
  </si>
  <si>
    <t>Add a helper column 'Revenue' = SeatsSold * AvgTicketPrice. Build a PivotTable summarizing total revenue by Airline and Class, with a slicer for Origin.</t>
  </si>
  <si>
    <t>Hint: Revenue helper column, then PivotTable: Airline in Rows, Class in Columns, Sum of Revenue in Values.</t>
  </si>
  <si>
    <t>Task 5: Peak Hour Departure Analysis</t>
  </si>
  <si>
    <t>Extract the departure hour from ScheduledDeparture (helper column using HOUR()). Count flights per hour using COUNTIFS, and build a column chart showing flight volume by hour of day to identify peak times.</t>
  </si>
  <si>
    <t>Hint: =HOUR(ScheduledDeparture) as helper column, then COUNTIFS or a PivotTable on the hour.</t>
  </si>
  <si>
    <t>Task 6: Dynamic Route Lookup Panel (INDEX/MATCH or XLOOKUP)</t>
  </si>
  <si>
    <t>Build a panel where entering an Origin and Destination in two cells returns: number of flights on that route, average DelayMinutes, and average load factor — all recalculating dynamically.</t>
  </si>
  <si>
    <t>Hint: Use COUNTIFS/AVERAGEIFS with two criteria (Origin AND Destination matching your input cells).</t>
  </si>
  <si>
    <t>Task 7: Aircraft Utilization Heatmap (Conditional Formatting)</t>
  </si>
  <si>
    <t>Build a table of AircraftType x Airline showing the count of flights for each combination (PivotTable or COUNTIFS matrix). Apply a color scale to highlight which aircraft types are most used by which airline.</t>
  </si>
  <si>
    <t>Hint: COUNTIFS(Airline,row_label,AircraftType,col_label) for each cell of the matrix.</t>
  </si>
  <si>
    <t>Task 8: Delay Threshold What-If Analysis</t>
  </si>
  <si>
    <t>Create an input cell for 'Delay Threshold (minutes)'. Use COUNTIFS with this cell as the criteria to dynamically count how many flights exceed the threshold, and what percentage of total flights that represents — updating as you change the threshold.</t>
  </si>
  <si>
    <t>Hint: =COUNTIFS(DelayMinutes,"&gt;"&amp;ThresholdCell) / COUNTA(FlightID range).</t>
  </si>
  <si>
    <t>Row Labels</t>
  </si>
  <si>
    <t>Grand Total</t>
  </si>
  <si>
    <t>Count of FlightID</t>
  </si>
  <si>
    <t>Delayed &gt;15 m</t>
  </si>
  <si>
    <t>On-time pct</t>
  </si>
  <si>
    <t>Route</t>
  </si>
  <si>
    <t>Routes</t>
  </si>
  <si>
    <t>LoadFactor</t>
  </si>
  <si>
    <t>Avg LoadFactor</t>
  </si>
  <si>
    <t>Count</t>
  </si>
  <si>
    <t>Sum of Column1</t>
  </si>
  <si>
    <t>Column Labels</t>
  </si>
  <si>
    <t>DepartureHour</t>
  </si>
  <si>
    <t>Revenue</t>
  </si>
  <si>
    <t>Hours</t>
  </si>
  <si>
    <t>Flight Count</t>
  </si>
  <si>
    <t>Number of Flights</t>
  </si>
  <si>
    <t>Avg delayMinutues</t>
  </si>
  <si>
    <t>Airlines</t>
  </si>
  <si>
    <t>Aircraft Tpye</t>
  </si>
  <si>
    <t>DelayMiutues</t>
  </si>
  <si>
    <t>Threshold Exceed</t>
  </si>
  <si>
    <t>FlightID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</si>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</sst>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s&quot;* #,##0.00_-;\-&quot;Rs&quot;* #,##0.00_-;_-&quot;Rs&quot;* &quot;-&quot;??_-;_-@_-"/>
    <numFmt numFmtId="164" formatCode="yyyy\-mm\-dd\ hh:mm"/>
    <numFmt numFmtId="165" formatCode="0.0"/>
  </numFmts>
  <fonts count="10" x14ac:knownFonts="1">
    <font>
      <sz val="11"/>
      <color theme="1"/>
      <name val="Calibri"/>
      <family val="2"/>
      <charset val="1"/>
    </font>
    <font>
      <sz val="10"/>
      <name val="Arial"/>
    </font>
    <font>
      <b/>
      <sz val="14"/>
      <color rgb="FF1F4E78"/>
      <name val="Arial"/>
      <charset val="1"/>
    </font>
    <font>
      <b/>
      <sz val="11"/>
      <color rgb="FFFFFFFF"/>
      <name val="Arial"/>
      <charset val="1"/>
    </font>
    <font>
      <b/>
      <sz val="11"/>
      <color rgb="FF1F4E78"/>
      <name val="Arial"/>
      <charset val="1"/>
    </font>
    <font>
      <b/>
      <sz val="10"/>
      <name val="Arial"/>
      <charset val="1"/>
    </font>
    <font>
      <i/>
      <sz val="9"/>
      <color rgb="FF595959"/>
      <name val="Arial"/>
      <charset val="1"/>
    </font>
    <font>
      <b/>
      <sz val="11"/>
      <color theme="1"/>
      <name val="Calibri"/>
      <family val="2"/>
      <charset val="1"/>
    </font>
    <font>
      <b/>
      <sz val="11"/>
      <color rgb="FFFFFFFF"/>
      <name val="Arial"/>
      <family val="2"/>
    </font>
    <font>
      <b/>
      <sz val="11"/>
      <color theme="1"/>
      <name val="Calibri"/>
      <family val="2"/>
    </font>
  </fonts>
  <fills count="8">
    <fill>
      <patternFill patternType="none"/>
    </fill>
    <fill>
      <patternFill patternType="gray125"/>
    </fill>
    <fill>
      <patternFill patternType="solid">
        <fgColor rgb="FF1F4E78"/>
        <bgColor rgb="FF003366"/>
      </patternFill>
    </fill>
    <fill>
      <patternFill patternType="solid">
        <fgColor rgb="FFDDEBF7"/>
        <bgColor rgb="FFCCFFFF"/>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bottom style="thin">
        <color theme="4" tint="0.3999755851924192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2">
    <xf numFmtId="0" fontId="0" fillId="0" borderId="0"/>
    <xf numFmtId="9" fontId="1" fillId="0" borderId="0" applyBorder="0" applyAlignment="0" applyProtection="0"/>
  </cellStyleXfs>
  <cellXfs count="48">
    <xf numFmtId="0" fontId="0" fillId="0" borderId="0" xfId="0"/>
    <xf numFmtId="0" fontId="3" fillId="2" borderId="1" xfId="0" applyFont="1" applyFill="1" applyBorder="1" applyAlignment="1">
      <alignment horizontal="center"/>
    </xf>
    <xf numFmtId="0" fontId="0" fillId="0" borderId="1" xfId="0" applyFont="1" applyBorder="1"/>
    <xf numFmtId="164" fontId="0" fillId="0" borderId="1" xfId="0" applyNumberFormat="1" applyBorder="1"/>
    <xf numFmtId="4" fontId="0" fillId="0" borderId="1" xfId="0" applyNumberFormat="1" applyBorder="1"/>
    <xf numFmtId="0" fontId="2" fillId="0" borderId="0" xfId="0" applyFont="1" applyAlignment="1">
      <alignment vertical="top" wrapText="1"/>
    </xf>
    <xf numFmtId="0" fontId="0" fillId="0" borderId="0" xfId="0" applyFont="1" applyAlignment="1">
      <alignment vertical="top" wrapText="1"/>
    </xf>
    <xf numFmtId="0" fontId="4" fillId="0" borderId="0" xfId="0" applyFont="1"/>
    <xf numFmtId="0" fontId="5" fillId="3" borderId="0" xfId="0" applyFont="1" applyFill="1" applyAlignment="1">
      <alignment vertical="top" wrapText="1"/>
    </xf>
    <xf numFmtId="0" fontId="6" fillId="0" borderId="0" xfId="0" applyFont="1" applyAlignment="1">
      <alignment vertical="top" wrapText="1"/>
    </xf>
    <xf numFmtId="0" fontId="0" fillId="0" borderId="0" xfId="0" pivotButton="1"/>
    <xf numFmtId="0" fontId="0" fillId="0" borderId="0" xfId="0" applyAlignment="1">
      <alignment horizontal="left"/>
    </xf>
    <xf numFmtId="0" fontId="0" fillId="0" borderId="0" xfId="0" applyNumberFormat="1"/>
    <xf numFmtId="0" fontId="7" fillId="4" borderId="3" xfId="0" applyFont="1" applyFill="1" applyBorder="1"/>
    <xf numFmtId="9" fontId="1" fillId="0" borderId="0" xfId="1"/>
    <xf numFmtId="0" fontId="2" fillId="0" borderId="0" xfId="0" applyFont="1" applyBorder="1" applyAlignment="1">
      <alignment horizontal="center"/>
    </xf>
    <xf numFmtId="0" fontId="8" fillId="2" borderId="1" xfId="0" applyFont="1" applyFill="1" applyBorder="1" applyAlignment="1">
      <alignment horizontal="center"/>
    </xf>
    <xf numFmtId="2" fontId="0" fillId="0" borderId="0" xfId="0" applyNumberFormat="1"/>
    <xf numFmtId="2" fontId="8" fillId="2" borderId="1" xfId="0" applyNumberFormat="1" applyFont="1" applyFill="1" applyBorder="1" applyAlignment="1">
      <alignment horizontal="center"/>
    </xf>
    <xf numFmtId="2" fontId="0" fillId="0" borderId="1" xfId="0" applyNumberFormat="1" applyFont="1" applyBorder="1"/>
    <xf numFmtId="1" fontId="0" fillId="0" borderId="0" xfId="0" applyNumberFormat="1"/>
    <xf numFmtId="1" fontId="8" fillId="2" borderId="1" xfId="0" applyNumberFormat="1" applyFont="1" applyFill="1" applyBorder="1" applyAlignment="1">
      <alignment horizontal="center"/>
    </xf>
    <xf numFmtId="1" fontId="0" fillId="0" borderId="1" xfId="0" applyNumberFormat="1" applyFont="1" applyBorder="1"/>
    <xf numFmtId="44" fontId="0" fillId="0" borderId="0" xfId="0" applyNumberFormat="1"/>
    <xf numFmtId="44" fontId="0" fillId="0" borderId="1" xfId="0" applyNumberFormat="1" applyBorder="1"/>
    <xf numFmtId="1" fontId="3" fillId="2" borderId="1" xfId="0" applyNumberFormat="1" applyFont="1" applyFill="1" applyBorder="1" applyAlignment="1">
      <alignment horizontal="center"/>
    </xf>
    <xf numFmtId="1" fontId="0" fillId="0" borderId="1" xfId="0" applyNumberFormat="1" applyBorder="1"/>
    <xf numFmtId="44" fontId="8" fillId="2" borderId="1" xfId="0" applyNumberFormat="1" applyFont="1" applyFill="1" applyBorder="1" applyAlignment="1">
      <alignment horizontal="center"/>
    </xf>
    <xf numFmtId="0" fontId="0" fillId="5" borderId="0" xfId="0" applyFill="1"/>
    <xf numFmtId="0" fontId="0" fillId="5" borderId="4" xfId="0" applyFill="1" applyBorder="1"/>
    <xf numFmtId="0" fontId="0" fillId="0" borderId="4" xfId="0" applyFill="1" applyBorder="1"/>
    <xf numFmtId="0" fontId="0" fillId="0" borderId="4" xfId="0" applyBorder="1"/>
    <xf numFmtId="0" fontId="0" fillId="6" borderId="5" xfId="0" applyFill="1" applyBorder="1"/>
    <xf numFmtId="0" fontId="0" fillId="0" borderId="5" xfId="0" applyBorder="1"/>
    <xf numFmtId="2" fontId="0" fillId="0" borderId="5" xfId="0" applyNumberFormat="1" applyBorder="1" applyAlignment="1"/>
    <xf numFmtId="9" fontId="1" fillId="0" borderId="5" xfId="1" applyBorder="1"/>
    <xf numFmtId="0" fontId="2" fillId="0" borderId="2" xfId="0" applyFont="1" applyBorder="1" applyAlignment="1">
      <alignment horizontal="center"/>
    </xf>
    <xf numFmtId="0" fontId="5" fillId="3" borderId="0" xfId="0" applyFont="1" applyFill="1" applyAlignment="1">
      <alignment horizontal="left" vertical="top" wrapText="1"/>
    </xf>
    <xf numFmtId="0" fontId="0" fillId="0" borderId="0" xfId="0" applyFont="1" applyAlignment="1">
      <alignment horizontal="left" vertical="top" wrapText="1"/>
    </xf>
    <xf numFmtId="0" fontId="5" fillId="3" borderId="0" xfId="0" applyFont="1" applyFill="1" applyAlignment="1">
      <alignment vertical="top" wrapText="1"/>
    </xf>
    <xf numFmtId="0" fontId="0" fillId="0" borderId="0" xfId="0" applyFont="1" applyAlignment="1">
      <alignment vertical="top" wrapText="1"/>
    </xf>
    <xf numFmtId="0" fontId="7" fillId="4" borderId="6" xfId="0" applyNumberFormat="1" applyFont="1" applyFill="1" applyBorder="1"/>
    <xf numFmtId="9" fontId="1" fillId="7" borderId="6" xfId="1" applyFill="1" applyBorder="1"/>
    <xf numFmtId="0" fontId="9" fillId="0" borderId="0" xfId="0" applyFont="1" applyFill="1"/>
    <xf numFmtId="0" fontId="0" fillId="0" borderId="0" xfId="0" applyFill="1"/>
    <xf numFmtId="165" fontId="0" fillId="0" borderId="0" xfId="0" applyNumberFormat="1" applyFill="1"/>
    <xf numFmtId="9" fontId="1" fillId="0" borderId="0" xfId="1" applyFill="1"/>
    <xf numFmtId="1" fontId="1" fillId="0" borderId="0" xfId="1" applyNumberFormat="1"/>
  </cellXfs>
  <cellStyles count="2">
    <cellStyle name="Normal" xfId="0" builtinId="0"/>
    <cellStyle name="Percent" xfId="1" builtinId="5"/>
  </cellStyles>
  <dxfs count="7">
    <dxf>
      <numFmt numFmtId="0" formatCode="General"/>
    </dxf>
    <dxf>
      <numFmt numFmtId="34" formatCode="_-&quot;Rs&quot;* #,##0.00_-;\-&quot;Rs&quot;* #,##0.00_-;_-&quot;Rs&quot;* &quot;-&quot;??_-;_-@_-"/>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1"/>
        <color theme="1"/>
        <name val="Calibri"/>
        <family val="2"/>
        <charset val="1"/>
        <scheme val="none"/>
      </font>
      <numFmt numFmtId="2" formatCode="0.00"/>
      <border diagonalUp="0" diagonalDown="0" outline="0">
        <left style="thin">
          <color rgb="FFBFBFBF"/>
        </left>
        <right style="thin">
          <color rgb="FFBFBFBF"/>
        </right>
        <top style="thin">
          <color rgb="FFBFBFBF"/>
        </top>
        <bottom style="thin">
          <color rgb="FFBFBFBF"/>
        </bottom>
      </border>
    </dxf>
    <dxf>
      <numFmt numFmtId="1" formatCode="0"/>
    </dxf>
    <dxf>
      <numFmt numFmtId="1" formatCode="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1"/>
        <color theme="1"/>
        <name val="Calibri"/>
        <family val="2"/>
        <charset val="1"/>
        <scheme val="none"/>
      </font>
      <numFmt numFmtId="0" formatCode="General"/>
      <border diagonalUp="0" diagonalDown="0">
        <left style="thin">
          <color rgb="FFBFBFBF"/>
        </left>
        <right style="thin">
          <color rgb="FFBFBFBF"/>
        </right>
        <top style="thin">
          <color rgb="FFBFBFBF"/>
        </top>
        <bottom style="thin">
          <color rgb="FFBFBFBF"/>
        </bottom>
        <vertical/>
        <horizontal/>
      </border>
    </dxf>
    <dxf>
      <alignment horizontal="center" vertical="bottom"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lotArea>
      <c:layout/>
      <c:pieChart>
        <c:varyColors val="1"/>
        <c:ser>
          <c:idx val="0"/>
          <c:order val="0"/>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A835-4571-B115-7F1C3C1CDE72}"/>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A835-4571-B115-7F1C3C1CDE72}"/>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A835-4571-B115-7F1C3C1CDE72}"/>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A835-4571-B115-7F1C3C1CDE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 3'!$A$6:$A$9</c:f>
              <c:strCache>
                <c:ptCount val="4"/>
                <c:pt idx="0">
                  <c:v>Technical</c:v>
                </c:pt>
                <c:pt idx="1">
                  <c:v>Weather</c:v>
                </c:pt>
                <c:pt idx="2">
                  <c:v>Air Traffic Control</c:v>
                </c:pt>
                <c:pt idx="3">
                  <c:v>Crew</c:v>
                </c:pt>
              </c:strCache>
            </c:strRef>
          </c:cat>
          <c:val>
            <c:numRef>
              <c:f>'Report 3'!$B$6:$B$9</c:f>
              <c:numCache>
                <c:formatCode>General</c:formatCode>
                <c:ptCount val="4"/>
                <c:pt idx="0">
                  <c:v>46</c:v>
                </c:pt>
                <c:pt idx="1">
                  <c:v>48</c:v>
                </c:pt>
                <c:pt idx="2">
                  <c:v>45</c:v>
                </c:pt>
                <c:pt idx="3">
                  <c:v>54</c:v>
                </c:pt>
              </c:numCache>
            </c:numRef>
          </c:val>
          <c:extLst>
            <c:ext xmlns:c16="http://schemas.microsoft.com/office/drawing/2014/chart" uri="{C3380CC4-5D6E-409C-BE32-E72D297353CC}">
              <c16:uniqueId val="{00000000-E651-483C-82A0-290A8AC32C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 Departure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lotArea>
      <c:layout/>
      <c:barChart>
        <c:barDir val="col"/>
        <c:grouping val="clustered"/>
        <c:varyColors val="0"/>
        <c:ser>
          <c:idx val="0"/>
          <c:order val="0"/>
          <c:tx>
            <c:strRef>
              <c:f>'report 5'!$C$4</c:f>
              <c:strCache>
                <c:ptCount val="1"/>
                <c:pt idx="0">
                  <c:v>Flight Count</c:v>
                </c:pt>
              </c:strCache>
            </c:strRef>
          </c:tx>
          <c:spPr>
            <a:solidFill>
              <a:schemeClr val="accent1"/>
            </a:solidFill>
            <a:ln>
              <a:noFill/>
            </a:ln>
            <a:effectLst/>
          </c:spPr>
          <c:invertIfNegative val="0"/>
          <c:cat>
            <c:numRef>
              <c:f>'report 5'!$B$5:$B$24</c:f>
              <c:numCache>
                <c:formatCode>General</c:formatCode>
                <c:ptCount val="20"/>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numCache>
            </c:numRef>
          </c:cat>
          <c:val>
            <c:numRef>
              <c:f>'report 5'!$C$5:$C$24</c:f>
              <c:numCache>
                <c:formatCode>General</c:formatCode>
                <c:ptCount val="20"/>
                <c:pt idx="0">
                  <c:v>11</c:v>
                </c:pt>
                <c:pt idx="1">
                  <c:v>20</c:v>
                </c:pt>
                <c:pt idx="2">
                  <c:v>15</c:v>
                </c:pt>
                <c:pt idx="3">
                  <c:v>10</c:v>
                </c:pt>
                <c:pt idx="4">
                  <c:v>10</c:v>
                </c:pt>
                <c:pt idx="5">
                  <c:v>19</c:v>
                </c:pt>
                <c:pt idx="6">
                  <c:v>16</c:v>
                </c:pt>
                <c:pt idx="7">
                  <c:v>10</c:v>
                </c:pt>
                <c:pt idx="8">
                  <c:v>13</c:v>
                </c:pt>
                <c:pt idx="9">
                  <c:v>14</c:v>
                </c:pt>
                <c:pt idx="10">
                  <c:v>10</c:v>
                </c:pt>
                <c:pt idx="11">
                  <c:v>17</c:v>
                </c:pt>
                <c:pt idx="12">
                  <c:v>13</c:v>
                </c:pt>
                <c:pt idx="13">
                  <c:v>9</c:v>
                </c:pt>
                <c:pt idx="14">
                  <c:v>14</c:v>
                </c:pt>
                <c:pt idx="15">
                  <c:v>15</c:v>
                </c:pt>
                <c:pt idx="16">
                  <c:v>18</c:v>
                </c:pt>
                <c:pt idx="17">
                  <c:v>20</c:v>
                </c:pt>
                <c:pt idx="18">
                  <c:v>11</c:v>
                </c:pt>
                <c:pt idx="19">
                  <c:v>15</c:v>
                </c:pt>
              </c:numCache>
            </c:numRef>
          </c:val>
          <c:extLst>
            <c:ext xmlns:c16="http://schemas.microsoft.com/office/drawing/2014/chart" uri="{C3380CC4-5D6E-409C-BE32-E72D297353CC}">
              <c16:uniqueId val="{00000000-ECEA-4BB7-AB4F-2A35FA33B5C7}"/>
            </c:ext>
          </c:extLst>
        </c:ser>
        <c:dLbls>
          <c:showLegendKey val="0"/>
          <c:showVal val="0"/>
          <c:showCatName val="0"/>
          <c:showSerName val="0"/>
          <c:showPercent val="0"/>
          <c:showBubbleSize val="0"/>
        </c:dLbls>
        <c:gapWidth val="219"/>
        <c:overlap val="-27"/>
        <c:axId val="200084688"/>
        <c:axId val="200084208"/>
      </c:barChart>
      <c:catAx>
        <c:axId val="200084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Departure</a:t>
                </a:r>
                <a:r>
                  <a:rPr lang="en-US" baseline="0"/>
                  <a:t> </a:t>
                </a:r>
                <a:r>
                  <a:rPr lang="en-US"/>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0084208"/>
        <c:crosses val="autoZero"/>
        <c:auto val="1"/>
        <c:lblAlgn val="ctr"/>
        <c:lblOffset val="100"/>
        <c:noMultiLvlLbl val="0"/>
      </c:catAx>
      <c:valAx>
        <c:axId val="200084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Flight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0084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9525</xdr:colOff>
      <xdr:row>4</xdr:row>
      <xdr:rowOff>180975</xdr:rowOff>
    </xdr:from>
    <xdr:to>
      <xdr:col>10</xdr:col>
      <xdr:colOff>314325</xdr:colOff>
      <xdr:row>19</xdr:row>
      <xdr:rowOff>66675</xdr:rowOff>
    </xdr:to>
    <xdr:graphicFrame macro="">
      <xdr:nvGraphicFramePr>
        <xdr:cNvPr id="2" name="Chart 1">
          <a:extLst>
            <a:ext uri="{FF2B5EF4-FFF2-40B4-BE49-F238E27FC236}">
              <a16:creationId xmlns:a16="http://schemas.microsoft.com/office/drawing/2014/main" id="{16386DBC-227A-C4BC-B247-52E3DEE9A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161925</xdr:colOff>
      <xdr:row>5</xdr:row>
      <xdr:rowOff>114300</xdr:rowOff>
    </xdr:from>
    <xdr:to>
      <xdr:col>9</xdr:col>
      <xdr:colOff>161925</xdr:colOff>
      <xdr:row>18</xdr:row>
      <xdr:rowOff>161925</xdr:rowOff>
    </xdr:to>
    <mc:AlternateContent xmlns:mc="http://schemas.openxmlformats.org/markup-compatibility/2006" xmlns:a14="http://schemas.microsoft.com/office/drawing/2010/main">
      <mc:Choice Requires="a14">
        <xdr:graphicFrame macro="">
          <xdr:nvGraphicFramePr>
            <xdr:cNvPr id="2" name="Origin">
              <a:extLst>
                <a:ext uri="{FF2B5EF4-FFF2-40B4-BE49-F238E27FC236}">
                  <a16:creationId xmlns:a16="http://schemas.microsoft.com/office/drawing/2014/main" id="{67F4A988-D31A-0EF2-4BED-67C1C260E8F1}"/>
                </a:ext>
              </a:extLst>
            </xdr:cNvPr>
            <xdr:cNvGraphicFramePr/>
          </xdr:nvGraphicFramePr>
          <xdr:xfrm>
            <a:off x="0" y="0"/>
            <a:ext cx="0" cy="0"/>
          </xdr:xfrm>
          <a:graphic>
            <a:graphicData uri="http://schemas.microsoft.com/office/drawing/2010/slicer">
              <sle:slicer xmlns:sle="http://schemas.microsoft.com/office/drawing/2010/slicer" name="Origin"/>
            </a:graphicData>
          </a:graphic>
        </xdr:graphicFrame>
      </mc:Choice>
      <mc:Fallback xmlns="">
        <xdr:sp macro="" textlink="">
          <xdr:nvSpPr>
            <xdr:cNvPr id="0" name=""/>
            <xdr:cNvSpPr>
              <a:spLocks noTextEdit="1"/>
            </xdr:cNvSpPr>
          </xdr:nvSpPr>
          <xdr:spPr>
            <a:xfrm>
              <a:off x="5486400" y="106680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309562</xdr:colOff>
      <xdr:row>4</xdr:row>
      <xdr:rowOff>152400</xdr:rowOff>
    </xdr:from>
    <xdr:to>
      <xdr:col>10</xdr:col>
      <xdr:colOff>471487</xdr:colOff>
      <xdr:row>19</xdr:row>
      <xdr:rowOff>38100</xdr:rowOff>
    </xdr:to>
    <xdr:graphicFrame macro="">
      <xdr:nvGraphicFramePr>
        <xdr:cNvPr id="3" name="Chart 2">
          <a:extLst>
            <a:ext uri="{FF2B5EF4-FFF2-40B4-BE49-F238E27FC236}">
              <a16:creationId xmlns:a16="http://schemas.microsoft.com/office/drawing/2014/main" id="{CE67F5D5-08F2-3C73-BD64-5281205CA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ullah" refreshedDate="46212.579850462964" createdVersion="8" refreshedVersion="8" minRefreshableVersion="3" recordCount="280" xr:uid="{60EC8349-EC4E-40AA-87DD-1FDB250E3DEA}">
  <cacheSource type="worksheet">
    <worksheetSource name="FlightOps"/>
  </cacheSource>
  <cacheFields count="15">
    <cacheField name="FlightID" numFmtId="0">
      <sharedItems/>
    </cacheField>
    <cacheField name="Airline" numFmtId="0">
      <sharedItems count="4">
        <s v="Fly Jinnah"/>
        <s v="AirBlue"/>
        <s v="SereneAir"/>
        <s v="PIA"/>
      </sharedItems>
    </cacheField>
    <cacheField name="Origin" numFmtId="0">
      <sharedItems count="3">
        <s v="Karachi"/>
        <s v="Lahore"/>
        <s v="Islamabad"/>
      </sharedItems>
    </cacheField>
    <cacheField name="Destination" numFmtId="0">
      <sharedItems/>
    </cacheField>
    <cacheField name="Route" numFmtId="0">
      <sharedItems/>
    </cacheField>
    <cacheField name="ScheduledDeparture" numFmtId="164">
      <sharedItems containsSemiMixedTypes="0" containsNonDate="0" containsDate="1" containsString="0" minDate="2025-07-01T12:00:00" maxDate="2026-05-31T21:00:00"/>
    </cacheField>
    <cacheField name="DelayMinutes" numFmtId="0">
      <sharedItems containsSemiMixedTypes="0" containsString="0" containsNumber="1" containsInteger="1" minValue="0" maxValue="79"/>
    </cacheField>
    <cacheField name="AircraftType" numFmtId="0">
      <sharedItems count="4">
        <s v="Boeing 737"/>
        <s v="ATR 72"/>
        <s v="Airbus A321"/>
        <s v="Airbus A320"/>
      </sharedItems>
    </cacheField>
    <cacheField name="SeatsAvailable" numFmtId="0">
      <sharedItems containsSemiMixedTypes="0" containsString="0" containsNumber="1" containsInteger="1" minValue="72" maxValue="220"/>
    </cacheField>
    <cacheField name="SeatsSold" numFmtId="0">
      <sharedItems containsSemiMixedTypes="0" containsString="0" containsNumber="1" containsInteger="1" minValue="25" maxValue="220"/>
    </cacheField>
    <cacheField name="LoadFactor" numFmtId="2">
      <sharedItems containsSemiMixedTypes="0" containsString="0" containsNumber="1" minValue="0.34444444444444444" maxValue="1"/>
    </cacheField>
    <cacheField name="Class" numFmtId="0">
      <sharedItems count="2">
        <s v="Economy"/>
        <s v="Business"/>
      </sharedItems>
    </cacheField>
    <cacheField name="AvgTicketPrice" numFmtId="4">
      <sharedItems containsSemiMixedTypes="0" containsString="0" containsNumber="1" minValue="8648.7800000000007" maxValue="149876.65"/>
    </cacheField>
    <cacheField name="Column1" numFmtId="44">
      <sharedItems containsSemiMixedTypes="0" containsString="0" containsNumber="1" minValue="357067.98" maxValue="28300847.199999999"/>
    </cacheField>
    <cacheField name="DelayReason" numFmtId="0">
      <sharedItems/>
    </cacheField>
  </cacheFields>
  <extLst>
    <ext xmlns:x14="http://schemas.microsoft.com/office/spreadsheetml/2009/9/main" uri="{725AE2AE-9491-48be-B2B4-4EB974FC3084}">
      <x14:pivotCacheDefinition pivotCacheId="11914338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s v="FL2000"/>
    <x v="0"/>
    <x v="0"/>
    <s v="Islamabad"/>
    <s v="Karachi-Islamabad"/>
    <d v="2026-04-25T10:15:00"/>
    <n v="0"/>
    <x v="0"/>
    <n v="180"/>
    <n v="151"/>
    <n v="0.83888888888888891"/>
    <x v="0"/>
    <n v="25023.31"/>
    <n v="3778519.81"/>
    <s v="None"/>
  </r>
  <r>
    <s v="FL2001"/>
    <x v="0"/>
    <x v="0"/>
    <s v="Islamabad"/>
    <s v="Karachi-Islamabad"/>
    <d v="2026-02-10T06:45:00"/>
    <n v="35"/>
    <x v="1"/>
    <n v="72"/>
    <n v="34"/>
    <n v="0.47222222222222221"/>
    <x v="0"/>
    <n v="19835.39"/>
    <n v="674403.26"/>
    <s v="Technical"/>
  </r>
  <r>
    <s v="FL2002"/>
    <x v="1"/>
    <x v="1"/>
    <s v="Islamabad"/>
    <s v="Lahore-Islamabad"/>
    <d v="2025-12-03T18:45:00"/>
    <n v="27"/>
    <x v="1"/>
    <n v="72"/>
    <n v="33"/>
    <n v="0.45833333333333331"/>
    <x v="1"/>
    <n v="97392.7"/>
    <n v="3213959.1"/>
    <s v="Weather"/>
  </r>
  <r>
    <s v="FL2003"/>
    <x v="1"/>
    <x v="1"/>
    <s v="London"/>
    <s v="Lahore-London"/>
    <d v="2026-02-15T16:30:00"/>
    <n v="65"/>
    <x v="0"/>
    <n v="180"/>
    <n v="118"/>
    <n v="0.65555555555555556"/>
    <x v="1"/>
    <n v="144845.07999999999"/>
    <n v="17091719.439999998"/>
    <s v="Technical"/>
  </r>
  <r>
    <s v="FL2004"/>
    <x v="0"/>
    <x v="1"/>
    <s v="Dubai"/>
    <s v="Lahore-Dubai"/>
    <d v="2025-07-06T18:15:00"/>
    <n v="30"/>
    <x v="2"/>
    <n v="220"/>
    <n v="178"/>
    <n v="0.80909090909090908"/>
    <x v="1"/>
    <n v="119129.44"/>
    <n v="21205040.32"/>
    <s v="Weather"/>
  </r>
  <r>
    <s v="FL2005"/>
    <x v="2"/>
    <x v="0"/>
    <s v="Dubai"/>
    <s v="Karachi-Dubai"/>
    <d v="2025-08-03T08:45:00"/>
    <n v="0"/>
    <x v="0"/>
    <n v="180"/>
    <n v="120"/>
    <n v="0.66666666666666663"/>
    <x v="1"/>
    <n v="80480.100000000006"/>
    <n v="9657612"/>
    <s v="None"/>
  </r>
  <r>
    <s v="FL2006"/>
    <x v="0"/>
    <x v="0"/>
    <s v="Islamabad"/>
    <s v="Karachi-Islamabad"/>
    <d v="2026-01-23T15:30:00"/>
    <n v="0"/>
    <x v="3"/>
    <n v="186"/>
    <n v="87"/>
    <n v="0.46774193548387094"/>
    <x v="1"/>
    <n v="61745.35"/>
    <n v="5371845.4500000002"/>
    <s v="None"/>
  </r>
  <r>
    <s v="FL2007"/>
    <x v="1"/>
    <x v="0"/>
    <s v="Jeddah"/>
    <s v="Karachi-Jeddah"/>
    <d v="2026-04-13T23:15:00"/>
    <n v="40"/>
    <x v="2"/>
    <n v="220"/>
    <n v="169"/>
    <n v="0.76818181818181819"/>
    <x v="0"/>
    <n v="54691.18"/>
    <n v="9242809.4199999999"/>
    <s v="Weather"/>
  </r>
  <r>
    <s v="FL2008"/>
    <x v="1"/>
    <x v="1"/>
    <s v="London"/>
    <s v="Lahore-London"/>
    <d v="2026-02-14T13:15:00"/>
    <n v="17"/>
    <x v="2"/>
    <n v="220"/>
    <n v="129"/>
    <n v="0.58636363636363631"/>
    <x v="1"/>
    <n v="142585.24"/>
    <n v="18393495.959999997"/>
    <s v="Air Traffic Control"/>
  </r>
  <r>
    <s v="FL2009"/>
    <x v="2"/>
    <x v="0"/>
    <s v="Jeddah"/>
    <s v="Karachi-Jeddah"/>
    <d v="2025-07-10T19:30:00"/>
    <n v="0"/>
    <x v="3"/>
    <n v="186"/>
    <n v="96"/>
    <n v="0.5161290322580645"/>
    <x v="1"/>
    <n v="41708.730000000003"/>
    <n v="4004038.08"/>
    <s v="None"/>
  </r>
  <r>
    <s v="FL2010"/>
    <x v="3"/>
    <x v="0"/>
    <s v="Lahore"/>
    <s v="Karachi-Lahore"/>
    <d v="2025-10-02T13:00:00"/>
    <n v="11"/>
    <x v="2"/>
    <n v="220"/>
    <n v="123"/>
    <n v="0.55909090909090908"/>
    <x v="1"/>
    <n v="73224.429999999993"/>
    <n v="9006604.8899999987"/>
    <s v="Air Traffic Control"/>
  </r>
  <r>
    <s v="FL2011"/>
    <x v="1"/>
    <x v="0"/>
    <s v="Lahore"/>
    <s v="Karachi-Lahore"/>
    <d v="2026-01-01T09:30:00"/>
    <n v="0"/>
    <x v="2"/>
    <n v="220"/>
    <n v="83"/>
    <n v="0.37727272727272726"/>
    <x v="1"/>
    <n v="59445.24"/>
    <n v="4933954.92"/>
    <s v="None"/>
  </r>
  <r>
    <s v="FL2012"/>
    <x v="0"/>
    <x v="2"/>
    <s v="Jeddah"/>
    <s v="Islamabad-Jeddah"/>
    <d v="2026-03-04T22:30:00"/>
    <n v="0"/>
    <x v="1"/>
    <n v="72"/>
    <n v="58"/>
    <n v="0.80555555555555558"/>
    <x v="0"/>
    <n v="44958.36"/>
    <n v="2607584.88"/>
    <s v="None"/>
  </r>
  <r>
    <s v="FL2013"/>
    <x v="1"/>
    <x v="0"/>
    <s v="Islamabad"/>
    <s v="Karachi-Islamabad"/>
    <d v="2025-12-27T20:30:00"/>
    <n v="43"/>
    <x v="0"/>
    <n v="180"/>
    <n v="164"/>
    <n v="0.91111111111111109"/>
    <x v="0"/>
    <n v="10831.32"/>
    <n v="1776336.48"/>
    <s v="Weather"/>
  </r>
  <r>
    <s v="FL2014"/>
    <x v="2"/>
    <x v="0"/>
    <s v="Jeddah"/>
    <s v="Karachi-Jeddah"/>
    <d v="2025-10-09T21:00:00"/>
    <n v="24"/>
    <x v="3"/>
    <n v="186"/>
    <n v="117"/>
    <n v="0.62903225806451613"/>
    <x v="0"/>
    <n v="18096.060000000001"/>
    <n v="2117239.02"/>
    <s v="Air Traffic Control"/>
  </r>
  <r>
    <s v="FL2015"/>
    <x v="2"/>
    <x v="0"/>
    <s v="Lahore"/>
    <s v="Karachi-Lahore"/>
    <d v="2025-11-30T16:15:00"/>
    <n v="21"/>
    <x v="2"/>
    <n v="220"/>
    <n v="115"/>
    <n v="0.52272727272727271"/>
    <x v="0"/>
    <n v="42050.13"/>
    <n v="4835764.9499999993"/>
    <s v="Air Traffic Control"/>
  </r>
  <r>
    <s v="FL2016"/>
    <x v="1"/>
    <x v="0"/>
    <s v="Lahore"/>
    <s v="Karachi-Lahore"/>
    <d v="2025-07-27T22:15:00"/>
    <n v="12"/>
    <x v="1"/>
    <n v="72"/>
    <n v="62"/>
    <n v="0.86111111111111116"/>
    <x v="1"/>
    <n v="128994.4"/>
    <n v="7997652.7999999998"/>
    <s v="Crew"/>
  </r>
  <r>
    <s v="FL2017"/>
    <x v="0"/>
    <x v="0"/>
    <s v="Dubai"/>
    <s v="Karachi-Dubai"/>
    <d v="2026-05-20T15:30:00"/>
    <n v="19"/>
    <x v="3"/>
    <n v="186"/>
    <n v="68"/>
    <n v="0.36559139784946237"/>
    <x v="1"/>
    <n v="130046.54"/>
    <n v="8843164.7199999988"/>
    <s v="Crew"/>
  </r>
  <r>
    <s v="FL2018"/>
    <x v="2"/>
    <x v="1"/>
    <s v="Islamabad"/>
    <s v="Lahore-Islamabad"/>
    <d v="2026-01-29T23:00:00"/>
    <n v="35"/>
    <x v="3"/>
    <n v="186"/>
    <n v="139"/>
    <n v="0.74731182795698925"/>
    <x v="0"/>
    <n v="47273.99"/>
    <n v="6571084.6099999994"/>
    <s v="Crew"/>
  </r>
  <r>
    <s v="FL2019"/>
    <x v="1"/>
    <x v="1"/>
    <s v="Islamabad"/>
    <s v="Lahore-Islamabad"/>
    <d v="2026-04-26T22:15:00"/>
    <n v="30"/>
    <x v="0"/>
    <n v="180"/>
    <n v="179"/>
    <n v="0.99444444444444446"/>
    <x v="0"/>
    <n v="11749.35"/>
    <n v="2103133.65"/>
    <s v="Weather"/>
  </r>
  <r>
    <s v="FL2020"/>
    <x v="0"/>
    <x v="0"/>
    <s v="Jeddah"/>
    <s v="Karachi-Jeddah"/>
    <d v="2025-08-13T14:00:00"/>
    <n v="13"/>
    <x v="0"/>
    <n v="180"/>
    <n v="124"/>
    <n v="0.68888888888888888"/>
    <x v="1"/>
    <n v="135473.18"/>
    <n v="16798674.32"/>
    <s v="Weather"/>
  </r>
  <r>
    <s v="FL2021"/>
    <x v="2"/>
    <x v="1"/>
    <s v="London"/>
    <s v="Lahore-London"/>
    <d v="2025-11-01T20:30:00"/>
    <n v="45"/>
    <x v="3"/>
    <n v="186"/>
    <n v="132"/>
    <n v="0.70967741935483875"/>
    <x v="1"/>
    <n v="99094.55"/>
    <n v="13080480.6"/>
    <s v="Crew"/>
  </r>
  <r>
    <s v="FL2022"/>
    <x v="0"/>
    <x v="0"/>
    <s v="Jeddah"/>
    <s v="Karachi-Jeddah"/>
    <d v="2025-10-23T17:30:00"/>
    <n v="10"/>
    <x v="2"/>
    <n v="220"/>
    <n v="98"/>
    <n v="0.44545454545454544"/>
    <x v="1"/>
    <n v="137857.01999999999"/>
    <n v="13509987.959999999"/>
    <s v="Technical"/>
  </r>
  <r>
    <s v="FL2023"/>
    <x v="2"/>
    <x v="0"/>
    <s v="Dubai"/>
    <s v="Karachi-Dubai"/>
    <d v="2026-01-12T07:45:00"/>
    <n v="30"/>
    <x v="2"/>
    <n v="220"/>
    <n v="103"/>
    <n v="0.4681818181818182"/>
    <x v="0"/>
    <n v="54181.22"/>
    <n v="5580665.6600000001"/>
    <s v="Air Traffic Control"/>
  </r>
  <r>
    <s v="FL2024"/>
    <x v="1"/>
    <x v="0"/>
    <s v="Lahore"/>
    <s v="Karachi-Lahore"/>
    <d v="2026-01-24T15:45:00"/>
    <n v="22"/>
    <x v="1"/>
    <n v="72"/>
    <n v="40"/>
    <n v="0.55555555555555558"/>
    <x v="1"/>
    <n v="97072.25"/>
    <n v="3882890"/>
    <s v="Technical"/>
  </r>
  <r>
    <s v="FL2025"/>
    <x v="3"/>
    <x v="0"/>
    <s v="Dubai"/>
    <s v="Karachi-Dubai"/>
    <d v="2026-03-30T20:15:00"/>
    <n v="0"/>
    <x v="2"/>
    <n v="220"/>
    <n v="146"/>
    <n v="0.66363636363636369"/>
    <x v="0"/>
    <n v="55788.01"/>
    <n v="8145049.46"/>
    <s v="None"/>
  </r>
  <r>
    <s v="FL2026"/>
    <x v="0"/>
    <x v="0"/>
    <s v="Jeddah"/>
    <s v="Karachi-Jeddah"/>
    <d v="2025-10-05T20:00:00"/>
    <n v="0"/>
    <x v="2"/>
    <n v="220"/>
    <n v="180"/>
    <n v="0.81818181818181823"/>
    <x v="1"/>
    <n v="55271.7"/>
    <n v="9948906"/>
    <s v="None"/>
  </r>
  <r>
    <s v="FL2027"/>
    <x v="0"/>
    <x v="2"/>
    <s v="Jeddah"/>
    <s v="Islamabad-Jeddah"/>
    <d v="2025-09-02T10:15:00"/>
    <n v="0"/>
    <x v="3"/>
    <n v="186"/>
    <n v="67"/>
    <n v="0.36021505376344087"/>
    <x v="1"/>
    <n v="134621.82"/>
    <n v="9019661.9400000013"/>
    <s v="None"/>
  </r>
  <r>
    <s v="FL2028"/>
    <x v="0"/>
    <x v="0"/>
    <s v="Islamabad"/>
    <s v="Karachi-Islamabad"/>
    <d v="2025-10-14T12:15:00"/>
    <n v="0"/>
    <x v="2"/>
    <n v="220"/>
    <n v="173"/>
    <n v="0.78636363636363638"/>
    <x v="1"/>
    <n v="95572.62"/>
    <n v="16534063.26"/>
    <s v="None"/>
  </r>
  <r>
    <s v="FL2029"/>
    <x v="2"/>
    <x v="0"/>
    <s v="Dubai"/>
    <s v="Karachi-Dubai"/>
    <d v="2026-02-17T07:15:00"/>
    <n v="6"/>
    <x v="1"/>
    <n v="72"/>
    <n v="72"/>
    <n v="1"/>
    <x v="1"/>
    <n v="141132.54999999999"/>
    <n v="10161543.6"/>
    <s v="Air Traffic Control"/>
  </r>
  <r>
    <s v="FL2030"/>
    <x v="2"/>
    <x v="0"/>
    <s v="Lahore"/>
    <s v="Karachi-Lahore"/>
    <d v="2025-09-09T17:30:00"/>
    <n v="0"/>
    <x v="1"/>
    <n v="72"/>
    <n v="47"/>
    <n v="0.65277777777777779"/>
    <x v="0"/>
    <n v="38873.81"/>
    <n v="1827069.0699999998"/>
    <s v="None"/>
  </r>
  <r>
    <s v="FL2031"/>
    <x v="1"/>
    <x v="1"/>
    <s v="London"/>
    <s v="Lahore-London"/>
    <d v="2025-11-21T12:30:00"/>
    <n v="8"/>
    <x v="2"/>
    <n v="220"/>
    <n v="77"/>
    <n v="0.35"/>
    <x v="0"/>
    <n v="30966.75"/>
    <n v="2384439.75"/>
    <s v="Technical"/>
  </r>
  <r>
    <s v="FL2032"/>
    <x v="0"/>
    <x v="0"/>
    <s v="Islamabad"/>
    <s v="Karachi-Islamabad"/>
    <d v="2025-07-31T13:00:00"/>
    <n v="3"/>
    <x v="1"/>
    <n v="72"/>
    <n v="69"/>
    <n v="0.95833333333333337"/>
    <x v="0"/>
    <n v="55283.24"/>
    <n v="3814543.56"/>
    <s v="Weather"/>
  </r>
  <r>
    <s v="FL2033"/>
    <x v="3"/>
    <x v="1"/>
    <s v="Dubai"/>
    <s v="Lahore-Dubai"/>
    <d v="2025-12-01T18:30:00"/>
    <n v="0"/>
    <x v="0"/>
    <n v="180"/>
    <n v="136"/>
    <n v="0.75555555555555554"/>
    <x v="1"/>
    <n v="89067.53"/>
    <n v="12113184.08"/>
    <s v="None"/>
  </r>
  <r>
    <s v="FL2034"/>
    <x v="0"/>
    <x v="1"/>
    <s v="London"/>
    <s v="Lahore-London"/>
    <d v="2026-03-02T21:45:00"/>
    <n v="0"/>
    <x v="3"/>
    <n v="186"/>
    <n v="117"/>
    <n v="0.62903225806451613"/>
    <x v="1"/>
    <n v="86291.38"/>
    <n v="10096091.460000001"/>
    <s v="None"/>
  </r>
  <r>
    <s v="FL2035"/>
    <x v="3"/>
    <x v="0"/>
    <s v="Jeddah"/>
    <s v="Karachi-Jeddah"/>
    <d v="2025-10-03T13:00:00"/>
    <n v="0"/>
    <x v="1"/>
    <n v="72"/>
    <n v="60"/>
    <n v="0.83333333333333337"/>
    <x v="0"/>
    <n v="34629.19"/>
    <n v="2077751.4000000001"/>
    <s v="None"/>
  </r>
  <r>
    <s v="FL2036"/>
    <x v="0"/>
    <x v="1"/>
    <s v="London"/>
    <s v="Lahore-London"/>
    <d v="2026-05-01T09:00:00"/>
    <n v="8"/>
    <x v="2"/>
    <n v="220"/>
    <n v="184"/>
    <n v="0.83636363636363631"/>
    <x v="0"/>
    <n v="20647.62"/>
    <n v="3799162.0799999996"/>
    <s v="Air Traffic Control"/>
  </r>
  <r>
    <s v="FL2037"/>
    <x v="0"/>
    <x v="0"/>
    <s v="Dubai"/>
    <s v="Karachi-Dubai"/>
    <d v="2026-03-08T22:15:00"/>
    <n v="42"/>
    <x v="1"/>
    <n v="72"/>
    <n v="69"/>
    <n v="0.95833333333333337"/>
    <x v="0"/>
    <n v="9964.7000000000007"/>
    <n v="687564.3"/>
    <s v="Air Traffic Control"/>
  </r>
  <r>
    <s v="FL2038"/>
    <x v="0"/>
    <x v="0"/>
    <s v="Islamabad"/>
    <s v="Karachi-Islamabad"/>
    <d v="2025-10-17T12:15:00"/>
    <n v="39"/>
    <x v="3"/>
    <n v="186"/>
    <n v="126"/>
    <n v="0.67741935483870963"/>
    <x v="0"/>
    <n v="49617.599999999999"/>
    <n v="6251817.5999999996"/>
    <s v="Technical"/>
  </r>
  <r>
    <s v="FL2039"/>
    <x v="2"/>
    <x v="2"/>
    <s v="Jeddah"/>
    <s v="Islamabad-Jeddah"/>
    <d v="2026-04-30T17:30:00"/>
    <n v="36"/>
    <x v="0"/>
    <n v="180"/>
    <n v="164"/>
    <n v="0.91111111111111109"/>
    <x v="0"/>
    <n v="14244.8"/>
    <n v="2336147.1999999997"/>
    <s v="Air Traffic Control"/>
  </r>
  <r>
    <s v="FL2040"/>
    <x v="2"/>
    <x v="1"/>
    <s v="Islamabad"/>
    <s v="Lahore-Islamabad"/>
    <d v="2026-04-29T05:15:00"/>
    <n v="3"/>
    <x v="2"/>
    <n v="220"/>
    <n v="130"/>
    <n v="0.59090909090909094"/>
    <x v="1"/>
    <n v="136506.42000000001"/>
    <n v="17745834.600000001"/>
    <s v="Technical"/>
  </r>
  <r>
    <s v="FL2041"/>
    <x v="3"/>
    <x v="2"/>
    <s v="Jeddah"/>
    <s v="Islamabad-Jeddah"/>
    <d v="2025-07-06T14:30:00"/>
    <n v="10"/>
    <x v="0"/>
    <n v="180"/>
    <n v="165"/>
    <n v="0.91666666666666663"/>
    <x v="0"/>
    <n v="56815.9"/>
    <n v="9374623.5"/>
    <s v="Air Traffic Control"/>
  </r>
  <r>
    <s v="FL2042"/>
    <x v="2"/>
    <x v="1"/>
    <s v="Islamabad"/>
    <s v="Lahore-Islamabad"/>
    <d v="2026-04-01T15:45:00"/>
    <n v="39"/>
    <x v="1"/>
    <n v="72"/>
    <n v="50"/>
    <n v="0.69444444444444442"/>
    <x v="1"/>
    <n v="70371.88"/>
    <n v="3518594"/>
    <s v="Weather"/>
  </r>
  <r>
    <s v="FL2043"/>
    <x v="1"/>
    <x v="2"/>
    <s v="Jeddah"/>
    <s v="Islamabad-Jeddah"/>
    <d v="2026-02-15T10:15:00"/>
    <n v="42"/>
    <x v="3"/>
    <n v="186"/>
    <n v="130"/>
    <n v="0.69892473118279574"/>
    <x v="1"/>
    <n v="145893.88"/>
    <n v="18966204.400000002"/>
    <s v="Crew"/>
  </r>
  <r>
    <s v="FL2044"/>
    <x v="0"/>
    <x v="1"/>
    <s v="Dubai"/>
    <s v="Lahore-Dubai"/>
    <d v="2026-01-18T16:45:00"/>
    <n v="0"/>
    <x v="3"/>
    <n v="186"/>
    <n v="93"/>
    <n v="0.5"/>
    <x v="1"/>
    <n v="135320.31"/>
    <n v="12584788.83"/>
    <s v="None"/>
  </r>
  <r>
    <s v="FL2045"/>
    <x v="1"/>
    <x v="0"/>
    <s v="Jeddah"/>
    <s v="Karachi-Jeddah"/>
    <d v="2025-08-16T06:15:00"/>
    <n v="0"/>
    <x v="1"/>
    <n v="72"/>
    <n v="40"/>
    <n v="0.55555555555555558"/>
    <x v="0"/>
    <n v="36375.93"/>
    <n v="1455037.2"/>
    <s v="None"/>
  </r>
  <r>
    <s v="FL2046"/>
    <x v="1"/>
    <x v="1"/>
    <s v="Islamabad"/>
    <s v="Lahore-Islamabad"/>
    <d v="2026-03-18T14:15:00"/>
    <n v="26"/>
    <x v="2"/>
    <n v="220"/>
    <n v="169"/>
    <n v="0.76818181818181819"/>
    <x v="0"/>
    <n v="13129.49"/>
    <n v="2218883.81"/>
    <s v="Weather"/>
  </r>
  <r>
    <s v="FL2047"/>
    <x v="3"/>
    <x v="0"/>
    <s v="Islamabad"/>
    <s v="Karachi-Islamabad"/>
    <d v="2026-04-03T23:30:00"/>
    <n v="44"/>
    <x v="3"/>
    <n v="186"/>
    <n v="167"/>
    <n v="0.89784946236559138"/>
    <x v="0"/>
    <n v="41748.65"/>
    <n v="6972024.5499999998"/>
    <s v="Weather"/>
  </r>
  <r>
    <s v="FL2048"/>
    <x v="1"/>
    <x v="0"/>
    <s v="Jeddah"/>
    <s v="Karachi-Jeddah"/>
    <d v="2026-03-18T05:00:00"/>
    <n v="11"/>
    <x v="3"/>
    <n v="186"/>
    <n v="132"/>
    <n v="0.70967741935483875"/>
    <x v="0"/>
    <n v="22573.83"/>
    <n v="2979745.56"/>
    <s v="Crew"/>
  </r>
  <r>
    <s v="FL2049"/>
    <x v="1"/>
    <x v="2"/>
    <s v="Jeddah"/>
    <s v="Islamabad-Jeddah"/>
    <d v="2025-12-30T18:15:00"/>
    <n v="0"/>
    <x v="1"/>
    <n v="72"/>
    <n v="65"/>
    <n v="0.90277777777777779"/>
    <x v="1"/>
    <n v="47679.26"/>
    <n v="3099151.9"/>
    <s v="None"/>
  </r>
  <r>
    <s v="FL2050"/>
    <x v="3"/>
    <x v="0"/>
    <s v="Jeddah"/>
    <s v="Karachi-Jeddah"/>
    <d v="2025-09-24T09:15:00"/>
    <n v="0"/>
    <x v="3"/>
    <n v="186"/>
    <n v="79"/>
    <n v="0.42473118279569894"/>
    <x v="1"/>
    <n v="125680.61"/>
    <n v="9928768.1899999995"/>
    <s v="None"/>
  </r>
  <r>
    <s v="FL2051"/>
    <x v="0"/>
    <x v="0"/>
    <s v="Jeddah"/>
    <s v="Karachi-Jeddah"/>
    <d v="2026-04-18T05:15:00"/>
    <n v="0"/>
    <x v="3"/>
    <n v="186"/>
    <n v="179"/>
    <n v="0.9623655913978495"/>
    <x v="1"/>
    <n v="65488.79"/>
    <n v="11722493.41"/>
    <s v="None"/>
  </r>
  <r>
    <s v="FL2052"/>
    <x v="0"/>
    <x v="0"/>
    <s v="Islamabad"/>
    <s v="Karachi-Islamabad"/>
    <d v="2026-05-09T05:45:00"/>
    <n v="0"/>
    <x v="1"/>
    <n v="72"/>
    <n v="26"/>
    <n v="0.3611111111111111"/>
    <x v="1"/>
    <n v="47641.27"/>
    <n v="1238673.02"/>
    <s v="None"/>
  </r>
  <r>
    <s v="FL2053"/>
    <x v="1"/>
    <x v="1"/>
    <s v="London"/>
    <s v="Lahore-London"/>
    <d v="2026-03-17T10:00:00"/>
    <n v="0"/>
    <x v="1"/>
    <n v="72"/>
    <n v="50"/>
    <n v="0.69444444444444442"/>
    <x v="1"/>
    <n v="117709.96"/>
    <n v="5885498"/>
    <s v="None"/>
  </r>
  <r>
    <s v="FL2054"/>
    <x v="1"/>
    <x v="1"/>
    <s v="Islamabad"/>
    <s v="Lahore-Islamabad"/>
    <d v="2026-04-02T20:00:00"/>
    <n v="41"/>
    <x v="0"/>
    <n v="180"/>
    <n v="90"/>
    <n v="0.5"/>
    <x v="1"/>
    <n v="54486.48"/>
    <n v="4903783.2"/>
    <s v="Weather"/>
  </r>
  <r>
    <s v="FL2055"/>
    <x v="0"/>
    <x v="0"/>
    <s v="Jeddah"/>
    <s v="Karachi-Jeddah"/>
    <d v="2026-05-25T07:45:00"/>
    <n v="0"/>
    <x v="2"/>
    <n v="220"/>
    <n v="136"/>
    <n v="0.61818181818181817"/>
    <x v="1"/>
    <n v="110176.26"/>
    <n v="14983971.359999999"/>
    <s v="None"/>
  </r>
  <r>
    <s v="FL2056"/>
    <x v="3"/>
    <x v="0"/>
    <s v="Dubai"/>
    <s v="Karachi-Dubai"/>
    <d v="2025-08-07T09:15:00"/>
    <n v="0"/>
    <x v="1"/>
    <n v="72"/>
    <n v="51"/>
    <n v="0.70833333333333337"/>
    <x v="0"/>
    <n v="31394.95"/>
    <n v="1601142.45"/>
    <s v="None"/>
  </r>
  <r>
    <s v="FL2057"/>
    <x v="3"/>
    <x v="0"/>
    <s v="Lahore"/>
    <s v="Karachi-Lahore"/>
    <d v="2026-04-04T20:15:00"/>
    <n v="4"/>
    <x v="0"/>
    <n v="180"/>
    <n v="141"/>
    <n v="0.78333333333333333"/>
    <x v="0"/>
    <n v="49029.64"/>
    <n v="6913179.2400000002"/>
    <s v="Weather"/>
  </r>
  <r>
    <s v="FL2058"/>
    <x v="2"/>
    <x v="0"/>
    <s v="Jeddah"/>
    <s v="Karachi-Jeddah"/>
    <d v="2026-01-02T05:00:00"/>
    <n v="41"/>
    <x v="0"/>
    <n v="180"/>
    <n v="119"/>
    <n v="0.66111111111111109"/>
    <x v="1"/>
    <n v="133823.71"/>
    <n v="15925021.489999998"/>
    <s v="Weather"/>
  </r>
  <r>
    <s v="FL2059"/>
    <x v="3"/>
    <x v="0"/>
    <s v="Dubai"/>
    <s v="Karachi-Dubai"/>
    <d v="2026-02-26T21:00:00"/>
    <n v="64"/>
    <x v="2"/>
    <n v="220"/>
    <n v="205"/>
    <n v="0.93181818181818177"/>
    <x v="0"/>
    <n v="39780.5"/>
    <n v="8155002.5"/>
    <s v="Air Traffic Control"/>
  </r>
  <r>
    <s v="FL2060"/>
    <x v="0"/>
    <x v="0"/>
    <s v="Islamabad"/>
    <s v="Karachi-Islamabad"/>
    <d v="2026-01-14T09:45:00"/>
    <n v="0"/>
    <x v="1"/>
    <n v="72"/>
    <n v="34"/>
    <n v="0.47222222222222221"/>
    <x v="0"/>
    <n v="23426.27"/>
    <n v="796493.18"/>
    <s v="None"/>
  </r>
  <r>
    <s v="FL2061"/>
    <x v="0"/>
    <x v="0"/>
    <s v="Islamabad"/>
    <s v="Karachi-Islamabad"/>
    <d v="2025-10-26T14:30:00"/>
    <n v="35"/>
    <x v="3"/>
    <n v="186"/>
    <n v="76"/>
    <n v="0.40860215053763443"/>
    <x v="1"/>
    <n v="56063.57"/>
    <n v="4260831.32"/>
    <s v="Crew"/>
  </r>
  <r>
    <s v="FL2062"/>
    <x v="0"/>
    <x v="0"/>
    <s v="Lahore"/>
    <s v="Karachi-Lahore"/>
    <d v="2026-03-29T06:30:00"/>
    <n v="0"/>
    <x v="0"/>
    <n v="180"/>
    <n v="171"/>
    <n v="0.95"/>
    <x v="0"/>
    <n v="29540.29"/>
    <n v="5051389.59"/>
    <s v="None"/>
  </r>
  <r>
    <s v="FL2063"/>
    <x v="2"/>
    <x v="0"/>
    <s v="Lahore"/>
    <s v="Karachi-Lahore"/>
    <d v="2025-12-19T20:15:00"/>
    <n v="38"/>
    <x v="2"/>
    <n v="220"/>
    <n v="177"/>
    <n v="0.80454545454545456"/>
    <x v="0"/>
    <n v="14540.53"/>
    <n v="2573673.81"/>
    <s v="Weather"/>
  </r>
  <r>
    <s v="FL2064"/>
    <x v="2"/>
    <x v="0"/>
    <s v="Jeddah"/>
    <s v="Karachi-Jeddah"/>
    <d v="2026-02-15T15:45:00"/>
    <n v="0"/>
    <x v="2"/>
    <n v="220"/>
    <n v="139"/>
    <n v="0.63181818181818183"/>
    <x v="0"/>
    <n v="16621.11"/>
    <n v="2310334.29"/>
    <s v="None"/>
  </r>
  <r>
    <s v="FL2065"/>
    <x v="3"/>
    <x v="1"/>
    <s v="London"/>
    <s v="Lahore-London"/>
    <d v="2025-10-04T23:00:00"/>
    <n v="0"/>
    <x v="3"/>
    <n v="186"/>
    <n v="113"/>
    <n v="0.60752688172043012"/>
    <x v="0"/>
    <n v="16702.63"/>
    <n v="1887397.1900000002"/>
    <s v="None"/>
  </r>
  <r>
    <s v="FL2066"/>
    <x v="2"/>
    <x v="0"/>
    <s v="Lahore"/>
    <s v="Karachi-Lahore"/>
    <d v="2026-05-05T05:15:00"/>
    <n v="21"/>
    <x v="2"/>
    <n v="220"/>
    <n v="217"/>
    <n v="0.98636363636363633"/>
    <x v="0"/>
    <n v="47219.6"/>
    <n v="10246653.199999999"/>
    <s v="Technical"/>
  </r>
  <r>
    <s v="FL2067"/>
    <x v="0"/>
    <x v="2"/>
    <s v="Jeddah"/>
    <s v="Islamabad-Jeddah"/>
    <d v="2026-02-12T20:45:00"/>
    <n v="3"/>
    <x v="3"/>
    <n v="186"/>
    <n v="152"/>
    <n v="0.81720430107526887"/>
    <x v="1"/>
    <n v="56539"/>
    <n v="8593928"/>
    <s v="Technical"/>
  </r>
  <r>
    <s v="FL2068"/>
    <x v="1"/>
    <x v="2"/>
    <s v="Jeddah"/>
    <s v="Islamabad-Jeddah"/>
    <d v="2026-02-01T17:00:00"/>
    <n v="39"/>
    <x v="1"/>
    <n v="72"/>
    <n v="39"/>
    <n v="0.54166666666666663"/>
    <x v="1"/>
    <n v="94834"/>
    <n v="3698526"/>
    <s v="Technical"/>
  </r>
  <r>
    <s v="FL2069"/>
    <x v="2"/>
    <x v="0"/>
    <s v="Lahore"/>
    <s v="Karachi-Lahore"/>
    <d v="2025-08-11T22:45:00"/>
    <n v="0"/>
    <x v="3"/>
    <n v="186"/>
    <n v="120"/>
    <n v="0.64516129032258063"/>
    <x v="0"/>
    <n v="45918.29"/>
    <n v="5510194.7999999998"/>
    <s v="None"/>
  </r>
  <r>
    <s v="FL2070"/>
    <x v="1"/>
    <x v="1"/>
    <s v="Islamabad"/>
    <s v="Lahore-Islamabad"/>
    <d v="2025-10-14T04:00:00"/>
    <n v="16"/>
    <x v="2"/>
    <n v="220"/>
    <n v="99"/>
    <n v="0.45"/>
    <x v="0"/>
    <n v="19215.080000000002"/>
    <n v="1902292.9200000002"/>
    <s v="Weather"/>
  </r>
  <r>
    <s v="FL2071"/>
    <x v="1"/>
    <x v="1"/>
    <s v="Islamabad"/>
    <s v="Lahore-Islamabad"/>
    <d v="2026-05-04T04:30:00"/>
    <n v="0"/>
    <x v="3"/>
    <n v="186"/>
    <n v="89"/>
    <n v="0.478494623655914"/>
    <x v="1"/>
    <n v="115749.8"/>
    <n v="10301732.200000001"/>
    <s v="None"/>
  </r>
  <r>
    <s v="FL2072"/>
    <x v="0"/>
    <x v="2"/>
    <s v="Jeddah"/>
    <s v="Islamabad-Jeddah"/>
    <d v="2025-10-12T06:30:00"/>
    <n v="7"/>
    <x v="1"/>
    <n v="72"/>
    <n v="42"/>
    <n v="0.58333333333333337"/>
    <x v="0"/>
    <n v="14876.6"/>
    <n v="624817.20000000007"/>
    <s v="Weather"/>
  </r>
  <r>
    <s v="FL2073"/>
    <x v="3"/>
    <x v="0"/>
    <s v="Lahore"/>
    <s v="Karachi-Lahore"/>
    <d v="2026-03-09T19:00:00"/>
    <n v="0"/>
    <x v="1"/>
    <n v="72"/>
    <n v="68"/>
    <n v="0.94444444444444442"/>
    <x v="0"/>
    <n v="10795.9"/>
    <n v="734121.2"/>
    <s v="None"/>
  </r>
  <r>
    <s v="FL2074"/>
    <x v="0"/>
    <x v="0"/>
    <s v="Lahore"/>
    <s v="Karachi-Lahore"/>
    <d v="2025-07-19T06:15:00"/>
    <n v="9"/>
    <x v="0"/>
    <n v="180"/>
    <n v="168"/>
    <n v="0.93333333333333335"/>
    <x v="0"/>
    <n v="37126.050000000003"/>
    <n v="6237176.4000000004"/>
    <s v="Weather"/>
  </r>
  <r>
    <s v="FL2075"/>
    <x v="0"/>
    <x v="1"/>
    <s v="Islamabad"/>
    <s v="Lahore-Islamabad"/>
    <d v="2026-02-21T05:15:00"/>
    <n v="2"/>
    <x v="3"/>
    <n v="186"/>
    <n v="146"/>
    <n v="0.78494623655913975"/>
    <x v="1"/>
    <n v="126921.01"/>
    <n v="18530467.460000001"/>
    <s v="Technical"/>
  </r>
  <r>
    <s v="FL2076"/>
    <x v="1"/>
    <x v="1"/>
    <s v="London"/>
    <s v="Lahore-London"/>
    <d v="2026-04-22T19:15:00"/>
    <n v="0"/>
    <x v="1"/>
    <n v="72"/>
    <n v="36"/>
    <n v="0.5"/>
    <x v="0"/>
    <n v="32631.32"/>
    <n v="1174727.52"/>
    <s v="None"/>
  </r>
  <r>
    <s v="FL2077"/>
    <x v="1"/>
    <x v="0"/>
    <s v="Lahore"/>
    <s v="Karachi-Lahore"/>
    <d v="2026-02-28T05:00:00"/>
    <n v="17"/>
    <x v="0"/>
    <n v="180"/>
    <n v="71"/>
    <n v="0.39444444444444443"/>
    <x v="0"/>
    <n v="20070.78"/>
    <n v="1425025.38"/>
    <s v="Crew"/>
  </r>
  <r>
    <s v="FL2078"/>
    <x v="3"/>
    <x v="1"/>
    <s v="Dubai"/>
    <s v="Lahore-Dubai"/>
    <d v="2026-04-28T06:15:00"/>
    <n v="3"/>
    <x v="2"/>
    <n v="220"/>
    <n v="175"/>
    <n v="0.79545454545454541"/>
    <x v="0"/>
    <n v="18470.14"/>
    <n v="3232274.5"/>
    <s v="Air Traffic Control"/>
  </r>
  <r>
    <s v="FL2079"/>
    <x v="2"/>
    <x v="0"/>
    <s v="Islamabad"/>
    <s v="Karachi-Islamabad"/>
    <d v="2025-10-25T21:30:00"/>
    <n v="14"/>
    <x v="0"/>
    <n v="180"/>
    <n v="140"/>
    <n v="0.77777777777777779"/>
    <x v="0"/>
    <n v="11832.6"/>
    <n v="1656564"/>
    <s v="Air Traffic Control"/>
  </r>
  <r>
    <s v="FL2080"/>
    <x v="3"/>
    <x v="1"/>
    <s v="Islamabad"/>
    <s v="Lahore-Islamabad"/>
    <d v="2025-09-23T16:30:00"/>
    <n v="79"/>
    <x v="1"/>
    <n v="72"/>
    <n v="36"/>
    <n v="0.5"/>
    <x v="0"/>
    <n v="43129.71"/>
    <n v="1552669.56"/>
    <s v="Weather"/>
  </r>
  <r>
    <s v="FL2081"/>
    <x v="2"/>
    <x v="0"/>
    <s v="Jeddah"/>
    <s v="Karachi-Jeddah"/>
    <d v="2026-05-29T18:45:00"/>
    <n v="39"/>
    <x v="1"/>
    <n v="72"/>
    <n v="60"/>
    <n v="0.83333333333333337"/>
    <x v="0"/>
    <n v="56652.18"/>
    <n v="3399130.8"/>
    <s v="Technical"/>
  </r>
  <r>
    <s v="FL2082"/>
    <x v="1"/>
    <x v="0"/>
    <s v="Jeddah"/>
    <s v="Karachi-Jeddah"/>
    <d v="2025-11-25T07:30:00"/>
    <n v="39"/>
    <x v="2"/>
    <n v="220"/>
    <n v="108"/>
    <n v="0.49090909090909091"/>
    <x v="0"/>
    <n v="14111.1"/>
    <n v="1523998.8"/>
    <s v="Technical"/>
  </r>
  <r>
    <s v="FL2083"/>
    <x v="1"/>
    <x v="0"/>
    <s v="Dubai"/>
    <s v="Karachi-Dubai"/>
    <d v="2025-09-27T12:45:00"/>
    <n v="44"/>
    <x v="0"/>
    <n v="180"/>
    <n v="150"/>
    <n v="0.83333333333333337"/>
    <x v="1"/>
    <n v="74275.360000000001"/>
    <n v="11141304"/>
    <s v="Crew"/>
  </r>
  <r>
    <s v="FL2084"/>
    <x v="1"/>
    <x v="0"/>
    <s v="Islamabad"/>
    <s v="Karachi-Islamabad"/>
    <d v="2025-08-27T23:30:00"/>
    <n v="7"/>
    <x v="3"/>
    <n v="186"/>
    <n v="80"/>
    <n v="0.43010752688172044"/>
    <x v="1"/>
    <n v="90042.58"/>
    <n v="7203406.4000000004"/>
    <s v="Technical"/>
  </r>
  <r>
    <s v="FL2085"/>
    <x v="3"/>
    <x v="0"/>
    <s v="Dubai"/>
    <s v="Karachi-Dubai"/>
    <d v="2026-04-11T18:15:00"/>
    <n v="0"/>
    <x v="1"/>
    <n v="72"/>
    <n v="53"/>
    <n v="0.73611111111111116"/>
    <x v="0"/>
    <n v="57901.52"/>
    <n v="3068780.56"/>
    <s v="None"/>
  </r>
  <r>
    <s v="FL2086"/>
    <x v="3"/>
    <x v="0"/>
    <s v="Jeddah"/>
    <s v="Karachi-Jeddah"/>
    <d v="2025-07-15T13:15:00"/>
    <n v="0"/>
    <x v="3"/>
    <n v="186"/>
    <n v="94"/>
    <n v="0.5053763440860215"/>
    <x v="0"/>
    <n v="39977.279999999999"/>
    <n v="3757864.32"/>
    <s v="None"/>
  </r>
  <r>
    <s v="FL2087"/>
    <x v="0"/>
    <x v="0"/>
    <s v="Lahore"/>
    <s v="Karachi-Lahore"/>
    <d v="2025-10-14T05:15:00"/>
    <n v="38"/>
    <x v="2"/>
    <n v="220"/>
    <n v="171"/>
    <n v="0.77727272727272723"/>
    <x v="1"/>
    <n v="101919.15"/>
    <n v="17428174.649999999"/>
    <s v="Crew"/>
  </r>
  <r>
    <s v="FL2088"/>
    <x v="2"/>
    <x v="1"/>
    <s v="London"/>
    <s v="Lahore-London"/>
    <d v="2025-10-06T05:30:00"/>
    <n v="8"/>
    <x v="3"/>
    <n v="186"/>
    <n v="67"/>
    <n v="0.36021505376344087"/>
    <x v="1"/>
    <n v="66485.84"/>
    <n v="4454551.2799999993"/>
    <s v="Weather"/>
  </r>
  <r>
    <s v="FL2089"/>
    <x v="0"/>
    <x v="0"/>
    <s v="Lahore"/>
    <s v="Karachi-Lahore"/>
    <d v="2025-09-09T15:15:00"/>
    <n v="17"/>
    <x v="2"/>
    <n v="220"/>
    <n v="198"/>
    <n v="0.9"/>
    <x v="0"/>
    <n v="28667.119999999999"/>
    <n v="5676089.7599999998"/>
    <s v="Weather"/>
  </r>
  <r>
    <s v="FL2090"/>
    <x v="3"/>
    <x v="0"/>
    <s v="Islamabad"/>
    <s v="Karachi-Islamabad"/>
    <d v="2026-01-24T15:15:00"/>
    <n v="24"/>
    <x v="2"/>
    <n v="220"/>
    <n v="151"/>
    <n v="0.6863636363636364"/>
    <x v="1"/>
    <n v="41601.519999999997"/>
    <n v="6281829.5199999996"/>
    <s v="Air Traffic Control"/>
  </r>
  <r>
    <s v="FL2091"/>
    <x v="1"/>
    <x v="1"/>
    <s v="Islamabad"/>
    <s v="Lahore-Islamabad"/>
    <d v="2026-05-10T15:15:00"/>
    <n v="17"/>
    <x v="2"/>
    <n v="220"/>
    <n v="82"/>
    <n v="0.37272727272727274"/>
    <x v="0"/>
    <n v="56377.69"/>
    <n v="4622970.58"/>
    <s v="Technical"/>
  </r>
  <r>
    <s v="FL2092"/>
    <x v="0"/>
    <x v="0"/>
    <s v="Dubai"/>
    <s v="Karachi-Dubai"/>
    <d v="2026-03-25T15:45:00"/>
    <n v="37"/>
    <x v="1"/>
    <n v="72"/>
    <n v="70"/>
    <n v="0.97222222222222221"/>
    <x v="0"/>
    <n v="13102.98"/>
    <n v="917208.6"/>
    <s v="Crew"/>
  </r>
  <r>
    <s v="FL2093"/>
    <x v="3"/>
    <x v="0"/>
    <s v="Dubai"/>
    <s v="Karachi-Dubai"/>
    <d v="2025-10-14T22:45:00"/>
    <n v="0"/>
    <x v="3"/>
    <n v="186"/>
    <n v="166"/>
    <n v="0.89247311827956988"/>
    <x v="1"/>
    <n v="80193.88"/>
    <n v="13312184.08"/>
    <s v="None"/>
  </r>
  <r>
    <s v="FL2094"/>
    <x v="0"/>
    <x v="0"/>
    <s v="Jeddah"/>
    <s v="Karachi-Jeddah"/>
    <d v="2026-04-17T15:45:00"/>
    <n v="20"/>
    <x v="3"/>
    <n v="186"/>
    <n v="116"/>
    <n v="0.62365591397849462"/>
    <x v="1"/>
    <n v="84373.7"/>
    <n v="9787349.1999999993"/>
    <s v="Air Traffic Control"/>
  </r>
  <r>
    <s v="FL2095"/>
    <x v="0"/>
    <x v="0"/>
    <s v="Islamabad"/>
    <s v="Karachi-Islamabad"/>
    <d v="2025-12-03T19:45:00"/>
    <n v="0"/>
    <x v="2"/>
    <n v="220"/>
    <n v="80"/>
    <n v="0.36363636363636365"/>
    <x v="0"/>
    <n v="13517.47"/>
    <n v="1081397.5999999999"/>
    <s v="None"/>
  </r>
  <r>
    <s v="FL2096"/>
    <x v="0"/>
    <x v="0"/>
    <s v="Lahore"/>
    <s v="Karachi-Lahore"/>
    <d v="2025-12-04T21:00:00"/>
    <n v="18"/>
    <x v="1"/>
    <n v="72"/>
    <n v="53"/>
    <n v="0.73611111111111116"/>
    <x v="1"/>
    <n v="68760.58"/>
    <n v="3644310.74"/>
    <s v="Air Traffic Control"/>
  </r>
  <r>
    <s v="FL2097"/>
    <x v="3"/>
    <x v="1"/>
    <s v="London"/>
    <s v="Lahore-London"/>
    <d v="2026-02-01T15:15:00"/>
    <n v="38"/>
    <x v="0"/>
    <n v="180"/>
    <n v="133"/>
    <n v="0.73888888888888893"/>
    <x v="1"/>
    <n v="89132.55"/>
    <n v="11854629.15"/>
    <s v="Technical"/>
  </r>
  <r>
    <s v="FL2098"/>
    <x v="2"/>
    <x v="0"/>
    <s v="Dubai"/>
    <s v="Karachi-Dubai"/>
    <d v="2025-08-11T05:15:00"/>
    <n v="20"/>
    <x v="3"/>
    <n v="186"/>
    <n v="154"/>
    <n v="0.82795698924731187"/>
    <x v="1"/>
    <n v="142727.9"/>
    <n v="21980096.599999998"/>
    <s v="Weather"/>
  </r>
  <r>
    <s v="FL2099"/>
    <x v="3"/>
    <x v="0"/>
    <s v="Dubai"/>
    <s v="Karachi-Dubai"/>
    <d v="2025-10-25T08:45:00"/>
    <n v="0"/>
    <x v="3"/>
    <n v="186"/>
    <n v="159"/>
    <n v="0.85483870967741937"/>
    <x v="1"/>
    <n v="76525.47"/>
    <n v="12167549.73"/>
    <s v="None"/>
  </r>
  <r>
    <s v="FL2100"/>
    <x v="1"/>
    <x v="2"/>
    <s v="Jeddah"/>
    <s v="Islamabad-Jeddah"/>
    <d v="2025-08-06T11:30:00"/>
    <n v="25"/>
    <x v="1"/>
    <n v="72"/>
    <n v="62"/>
    <n v="0.86111111111111116"/>
    <x v="1"/>
    <n v="91867.61"/>
    <n v="5695791.8200000003"/>
    <s v="Weather"/>
  </r>
  <r>
    <s v="FL2101"/>
    <x v="0"/>
    <x v="0"/>
    <s v="Dubai"/>
    <s v="Karachi-Dubai"/>
    <d v="2026-03-08T18:15:00"/>
    <n v="32"/>
    <x v="0"/>
    <n v="180"/>
    <n v="70"/>
    <n v="0.3888888888888889"/>
    <x v="0"/>
    <n v="11591.36"/>
    <n v="811395.20000000007"/>
    <s v="Crew"/>
  </r>
  <r>
    <s v="FL2102"/>
    <x v="0"/>
    <x v="1"/>
    <s v="London"/>
    <s v="Lahore-London"/>
    <d v="2025-07-09T18:45:00"/>
    <n v="35"/>
    <x v="0"/>
    <n v="180"/>
    <n v="81"/>
    <n v="0.45"/>
    <x v="0"/>
    <n v="10899.66"/>
    <n v="882872.46"/>
    <s v="Air Traffic Control"/>
  </r>
  <r>
    <s v="FL2103"/>
    <x v="1"/>
    <x v="0"/>
    <s v="Jeddah"/>
    <s v="Karachi-Jeddah"/>
    <d v="2026-01-22T23:15:00"/>
    <n v="15"/>
    <x v="2"/>
    <n v="220"/>
    <n v="178"/>
    <n v="0.80909090909090908"/>
    <x v="0"/>
    <n v="58305.74"/>
    <n v="10378421.719999999"/>
    <s v="Weather"/>
  </r>
  <r>
    <s v="FL2104"/>
    <x v="3"/>
    <x v="1"/>
    <s v="London"/>
    <s v="Lahore-London"/>
    <d v="2025-09-30T07:30:00"/>
    <n v="3"/>
    <x v="3"/>
    <n v="186"/>
    <n v="153"/>
    <n v="0.82258064516129037"/>
    <x v="0"/>
    <n v="37365.22"/>
    <n v="5716878.6600000001"/>
    <s v="Crew"/>
  </r>
  <r>
    <s v="FL2105"/>
    <x v="0"/>
    <x v="1"/>
    <s v="Dubai"/>
    <s v="Lahore-Dubai"/>
    <d v="2025-11-10T14:00:00"/>
    <n v="34"/>
    <x v="3"/>
    <n v="186"/>
    <n v="128"/>
    <n v="0.68817204301075274"/>
    <x v="0"/>
    <n v="8648.7800000000007"/>
    <n v="1107043.8400000001"/>
    <s v="Technical"/>
  </r>
  <r>
    <s v="FL2106"/>
    <x v="3"/>
    <x v="2"/>
    <s v="Jeddah"/>
    <s v="Islamabad-Jeddah"/>
    <d v="2026-04-29T21:00:00"/>
    <n v="0"/>
    <x v="2"/>
    <n v="220"/>
    <n v="118"/>
    <n v="0.53636363636363638"/>
    <x v="0"/>
    <n v="50403.72"/>
    <n v="5947638.96"/>
    <s v="None"/>
  </r>
  <r>
    <s v="FL2107"/>
    <x v="2"/>
    <x v="0"/>
    <s v="Jeddah"/>
    <s v="Karachi-Jeddah"/>
    <d v="2026-05-11T14:15:00"/>
    <n v="43"/>
    <x v="0"/>
    <n v="180"/>
    <n v="162"/>
    <n v="0.9"/>
    <x v="1"/>
    <n v="94432.61"/>
    <n v="15298082.82"/>
    <s v="Crew"/>
  </r>
  <r>
    <s v="FL2108"/>
    <x v="1"/>
    <x v="0"/>
    <s v="Dubai"/>
    <s v="Karachi-Dubai"/>
    <d v="2025-10-28T13:00:00"/>
    <n v="0"/>
    <x v="2"/>
    <n v="220"/>
    <n v="178"/>
    <n v="0.80909090909090908"/>
    <x v="0"/>
    <n v="38833.919999999998"/>
    <n v="6912437.7599999998"/>
    <s v="None"/>
  </r>
  <r>
    <s v="FL2109"/>
    <x v="2"/>
    <x v="1"/>
    <s v="Islamabad"/>
    <s v="Lahore-Islamabad"/>
    <d v="2025-08-18T10:15:00"/>
    <n v="4"/>
    <x v="3"/>
    <n v="186"/>
    <n v="133"/>
    <n v="0.71505376344086025"/>
    <x v="1"/>
    <n v="72344.72"/>
    <n v="9621847.7599999998"/>
    <s v="Air Traffic Control"/>
  </r>
  <r>
    <s v="FL2110"/>
    <x v="2"/>
    <x v="0"/>
    <s v="Dubai"/>
    <s v="Karachi-Dubai"/>
    <d v="2025-10-11T06:00:00"/>
    <n v="25"/>
    <x v="1"/>
    <n v="72"/>
    <n v="64"/>
    <n v="0.88888888888888884"/>
    <x v="1"/>
    <n v="77603.7"/>
    <n v="4966636.8"/>
    <s v="Crew"/>
  </r>
  <r>
    <s v="FL2111"/>
    <x v="0"/>
    <x v="0"/>
    <s v="Islamabad"/>
    <s v="Karachi-Islamabad"/>
    <d v="2025-09-08T19:15:00"/>
    <n v="0"/>
    <x v="2"/>
    <n v="220"/>
    <n v="203"/>
    <n v="0.92272727272727273"/>
    <x v="1"/>
    <n v="58715.61"/>
    <n v="11919268.83"/>
    <s v="None"/>
  </r>
  <r>
    <s v="FL2112"/>
    <x v="2"/>
    <x v="1"/>
    <s v="Dubai"/>
    <s v="Lahore-Dubai"/>
    <d v="2025-09-29T23:00:00"/>
    <n v="21"/>
    <x v="2"/>
    <n v="220"/>
    <n v="141"/>
    <n v="0.64090909090909087"/>
    <x v="0"/>
    <n v="36387.379999999997"/>
    <n v="5130620.58"/>
    <s v="Air Traffic Control"/>
  </r>
  <r>
    <s v="FL2113"/>
    <x v="1"/>
    <x v="2"/>
    <s v="Jeddah"/>
    <s v="Islamabad-Jeddah"/>
    <d v="2025-12-03T06:15:00"/>
    <n v="13"/>
    <x v="2"/>
    <n v="220"/>
    <n v="81"/>
    <n v="0.36818181818181817"/>
    <x v="1"/>
    <n v="112256.1"/>
    <n v="9092744.0999999996"/>
    <s v="Technical"/>
  </r>
  <r>
    <s v="FL2114"/>
    <x v="1"/>
    <x v="0"/>
    <s v="Islamabad"/>
    <s v="Karachi-Islamabad"/>
    <d v="2025-10-13T13:15:00"/>
    <n v="14"/>
    <x v="1"/>
    <n v="72"/>
    <n v="45"/>
    <n v="0.625"/>
    <x v="1"/>
    <n v="48998.47"/>
    <n v="2204931.15"/>
    <s v="Air Traffic Control"/>
  </r>
  <r>
    <s v="FL2115"/>
    <x v="0"/>
    <x v="1"/>
    <s v="Islamabad"/>
    <s v="Lahore-Islamabad"/>
    <d v="2025-11-20T20:00:00"/>
    <n v="32"/>
    <x v="1"/>
    <n v="72"/>
    <n v="35"/>
    <n v="0.4861111111111111"/>
    <x v="0"/>
    <n v="13381.78"/>
    <n v="468362.30000000005"/>
    <s v="Air Traffic Control"/>
  </r>
  <r>
    <s v="FL2116"/>
    <x v="2"/>
    <x v="0"/>
    <s v="Jeddah"/>
    <s v="Karachi-Jeddah"/>
    <d v="2025-09-04T04:00:00"/>
    <n v="35"/>
    <x v="2"/>
    <n v="220"/>
    <n v="79"/>
    <n v="0.35909090909090907"/>
    <x v="0"/>
    <n v="34640.019999999997"/>
    <n v="2736561.5799999996"/>
    <s v="Weather"/>
  </r>
  <r>
    <s v="FL2117"/>
    <x v="3"/>
    <x v="2"/>
    <s v="Jeddah"/>
    <s v="Islamabad-Jeddah"/>
    <d v="2026-02-21T19:45:00"/>
    <n v="8"/>
    <x v="1"/>
    <n v="72"/>
    <n v="33"/>
    <n v="0.45833333333333331"/>
    <x v="1"/>
    <n v="98134.42"/>
    <n v="3238435.86"/>
    <s v="Technical"/>
  </r>
  <r>
    <s v="FL2118"/>
    <x v="2"/>
    <x v="1"/>
    <s v="Islamabad"/>
    <s v="Lahore-Islamabad"/>
    <d v="2025-09-01T14:15:00"/>
    <n v="10"/>
    <x v="1"/>
    <n v="72"/>
    <n v="53"/>
    <n v="0.73611111111111116"/>
    <x v="0"/>
    <n v="28059.98"/>
    <n v="1487178.94"/>
    <s v="Technical"/>
  </r>
  <r>
    <s v="FL2119"/>
    <x v="3"/>
    <x v="2"/>
    <s v="Jeddah"/>
    <s v="Islamabad-Jeddah"/>
    <d v="2025-11-12T20:45:00"/>
    <n v="25"/>
    <x v="0"/>
    <n v="180"/>
    <n v="64"/>
    <n v="0.35555555555555557"/>
    <x v="1"/>
    <n v="104850.86"/>
    <n v="6710455.04"/>
    <s v="Technical"/>
  </r>
  <r>
    <s v="FL2120"/>
    <x v="3"/>
    <x v="2"/>
    <s v="Jeddah"/>
    <s v="Islamabad-Jeddah"/>
    <d v="2026-05-03T09:45:00"/>
    <n v="10"/>
    <x v="2"/>
    <n v="220"/>
    <n v="154"/>
    <n v="0.7"/>
    <x v="1"/>
    <n v="115520.09"/>
    <n v="17790093.859999999"/>
    <s v="Air Traffic Control"/>
  </r>
  <r>
    <s v="FL2121"/>
    <x v="2"/>
    <x v="0"/>
    <s v="Jeddah"/>
    <s v="Karachi-Jeddah"/>
    <d v="2026-04-09T11:15:00"/>
    <n v="3"/>
    <x v="0"/>
    <n v="180"/>
    <n v="112"/>
    <n v="0.62222222222222223"/>
    <x v="0"/>
    <n v="55306.99"/>
    <n v="6194382.8799999999"/>
    <s v="Air Traffic Control"/>
  </r>
  <r>
    <s v="FL2122"/>
    <x v="1"/>
    <x v="1"/>
    <s v="Islamabad"/>
    <s v="Lahore-Islamabad"/>
    <d v="2026-02-23T06:00:00"/>
    <n v="0"/>
    <x v="1"/>
    <n v="72"/>
    <n v="69"/>
    <n v="0.95833333333333337"/>
    <x v="0"/>
    <n v="48248.11"/>
    <n v="3329119.59"/>
    <s v="None"/>
  </r>
  <r>
    <s v="FL2123"/>
    <x v="2"/>
    <x v="1"/>
    <s v="Islamabad"/>
    <s v="Lahore-Islamabad"/>
    <d v="2025-12-16T20:30:00"/>
    <n v="0"/>
    <x v="0"/>
    <n v="180"/>
    <n v="174"/>
    <n v="0.96666666666666667"/>
    <x v="0"/>
    <n v="43554.32"/>
    <n v="7578451.6799999997"/>
    <s v="None"/>
  </r>
  <r>
    <s v="FL2124"/>
    <x v="2"/>
    <x v="1"/>
    <s v="London"/>
    <s v="Lahore-London"/>
    <d v="2025-12-15T08:15:00"/>
    <n v="0"/>
    <x v="2"/>
    <n v="220"/>
    <n v="183"/>
    <n v="0.83181818181818179"/>
    <x v="0"/>
    <n v="19724.919999999998"/>
    <n v="3609660.36"/>
    <s v="None"/>
  </r>
  <r>
    <s v="FL2125"/>
    <x v="1"/>
    <x v="0"/>
    <s v="Dubai"/>
    <s v="Karachi-Dubai"/>
    <d v="2026-05-16T08:30:00"/>
    <n v="0"/>
    <x v="1"/>
    <n v="72"/>
    <n v="53"/>
    <n v="0.73611111111111116"/>
    <x v="1"/>
    <n v="84764.11"/>
    <n v="4492497.83"/>
    <s v="None"/>
  </r>
  <r>
    <s v="FL2126"/>
    <x v="0"/>
    <x v="1"/>
    <s v="Islamabad"/>
    <s v="Lahore-Islamabad"/>
    <d v="2026-02-14T20:00:00"/>
    <n v="6"/>
    <x v="3"/>
    <n v="186"/>
    <n v="76"/>
    <n v="0.40860215053763443"/>
    <x v="0"/>
    <n v="17312.66"/>
    <n v="1315762.1599999999"/>
    <s v="Crew"/>
  </r>
  <r>
    <s v="FL2127"/>
    <x v="1"/>
    <x v="0"/>
    <s v="Lahore"/>
    <s v="Karachi-Lahore"/>
    <d v="2025-07-28T23:00:00"/>
    <n v="16"/>
    <x v="0"/>
    <n v="180"/>
    <n v="144"/>
    <n v="0.8"/>
    <x v="0"/>
    <n v="52648.08"/>
    <n v="7581323.5200000005"/>
    <s v="Air Traffic Control"/>
  </r>
  <r>
    <s v="FL2128"/>
    <x v="2"/>
    <x v="0"/>
    <s v="Islamabad"/>
    <s v="Karachi-Islamabad"/>
    <d v="2025-11-02T13:15:00"/>
    <n v="2"/>
    <x v="2"/>
    <n v="220"/>
    <n v="189"/>
    <n v="0.85909090909090913"/>
    <x v="0"/>
    <n v="40094.699999999997"/>
    <n v="7577898.2999999998"/>
    <s v="Technical"/>
  </r>
  <r>
    <s v="FL2129"/>
    <x v="0"/>
    <x v="0"/>
    <s v="Dubai"/>
    <s v="Karachi-Dubai"/>
    <d v="2025-12-31T06:30:00"/>
    <n v="4"/>
    <x v="1"/>
    <n v="72"/>
    <n v="46"/>
    <n v="0.63888888888888884"/>
    <x v="0"/>
    <n v="50612.2"/>
    <n v="2328161.1999999997"/>
    <s v="Weather"/>
  </r>
  <r>
    <s v="FL2130"/>
    <x v="0"/>
    <x v="0"/>
    <s v="Dubai"/>
    <s v="Karachi-Dubai"/>
    <d v="2026-03-31T17:45:00"/>
    <n v="47"/>
    <x v="0"/>
    <n v="180"/>
    <n v="167"/>
    <n v="0.92777777777777781"/>
    <x v="0"/>
    <n v="26923.06"/>
    <n v="4496151.0200000005"/>
    <s v="Air Traffic Control"/>
  </r>
  <r>
    <s v="FL2131"/>
    <x v="0"/>
    <x v="0"/>
    <s v="Lahore"/>
    <s v="Karachi-Lahore"/>
    <d v="2026-05-10T21:45:00"/>
    <n v="14"/>
    <x v="0"/>
    <n v="180"/>
    <n v="111"/>
    <n v="0.6166666666666667"/>
    <x v="1"/>
    <n v="127693.34"/>
    <n v="14173960.74"/>
    <s v="Technical"/>
  </r>
  <r>
    <s v="FL2132"/>
    <x v="2"/>
    <x v="0"/>
    <s v="Jeddah"/>
    <s v="Karachi-Jeddah"/>
    <d v="2026-04-02T13:30:00"/>
    <n v="0"/>
    <x v="3"/>
    <n v="186"/>
    <n v="110"/>
    <n v="0.59139784946236562"/>
    <x v="0"/>
    <n v="55773.59"/>
    <n v="6135094.8999999994"/>
    <s v="None"/>
  </r>
  <r>
    <s v="FL2133"/>
    <x v="1"/>
    <x v="0"/>
    <s v="Dubai"/>
    <s v="Karachi-Dubai"/>
    <d v="2025-09-13T20:15:00"/>
    <n v="0"/>
    <x v="1"/>
    <n v="72"/>
    <n v="63"/>
    <n v="0.875"/>
    <x v="1"/>
    <n v="149135.15"/>
    <n v="9395514.4499999993"/>
    <s v="None"/>
  </r>
  <r>
    <s v="FL2134"/>
    <x v="1"/>
    <x v="0"/>
    <s v="Dubai"/>
    <s v="Karachi-Dubai"/>
    <d v="2025-07-01T23:00:00"/>
    <n v="27"/>
    <x v="0"/>
    <n v="180"/>
    <n v="112"/>
    <n v="0.62222222222222223"/>
    <x v="1"/>
    <n v="59461.59"/>
    <n v="6659698.0800000001"/>
    <s v="Weather"/>
  </r>
  <r>
    <s v="FL2135"/>
    <x v="1"/>
    <x v="1"/>
    <s v="Dubai"/>
    <s v="Lahore-Dubai"/>
    <d v="2025-12-02T10:30:00"/>
    <n v="42"/>
    <x v="3"/>
    <n v="186"/>
    <n v="155"/>
    <n v="0.83333333333333337"/>
    <x v="0"/>
    <n v="26231.47"/>
    <n v="4065877.85"/>
    <s v="Weather"/>
  </r>
  <r>
    <s v="FL2136"/>
    <x v="0"/>
    <x v="1"/>
    <s v="London"/>
    <s v="Lahore-London"/>
    <d v="2025-12-29T15:30:00"/>
    <n v="23"/>
    <x v="2"/>
    <n v="220"/>
    <n v="165"/>
    <n v="0.75"/>
    <x v="0"/>
    <n v="17907.88"/>
    <n v="2954800.2"/>
    <s v="Crew"/>
  </r>
  <r>
    <s v="FL2137"/>
    <x v="2"/>
    <x v="0"/>
    <s v="Islamabad"/>
    <s v="Karachi-Islamabad"/>
    <d v="2025-09-16T11:15:00"/>
    <n v="9"/>
    <x v="1"/>
    <n v="72"/>
    <n v="37"/>
    <n v="0.51388888888888884"/>
    <x v="1"/>
    <n v="85824.09"/>
    <n v="3175491.33"/>
    <s v="Technical"/>
  </r>
  <r>
    <s v="FL2138"/>
    <x v="1"/>
    <x v="1"/>
    <s v="Dubai"/>
    <s v="Lahore-Dubai"/>
    <d v="2026-01-01T05:30:00"/>
    <n v="0"/>
    <x v="3"/>
    <n v="186"/>
    <n v="168"/>
    <n v="0.90322580645161288"/>
    <x v="0"/>
    <n v="58349.18"/>
    <n v="9802662.2400000002"/>
    <s v="None"/>
  </r>
  <r>
    <s v="FL2139"/>
    <x v="3"/>
    <x v="1"/>
    <s v="London"/>
    <s v="Lahore-London"/>
    <d v="2026-04-29T04:30:00"/>
    <n v="13"/>
    <x v="2"/>
    <n v="220"/>
    <n v="183"/>
    <n v="0.83181818181818179"/>
    <x v="0"/>
    <n v="54278.84"/>
    <n v="9933027.7199999988"/>
    <s v="Weather"/>
  </r>
  <r>
    <s v="FL2140"/>
    <x v="0"/>
    <x v="1"/>
    <s v="London"/>
    <s v="Lahore-London"/>
    <d v="2025-07-18T15:00:00"/>
    <n v="10"/>
    <x v="0"/>
    <n v="180"/>
    <n v="163"/>
    <n v="0.90555555555555556"/>
    <x v="1"/>
    <n v="143001.42000000001"/>
    <n v="23309231.460000001"/>
    <s v="Crew"/>
  </r>
  <r>
    <s v="FL2141"/>
    <x v="2"/>
    <x v="1"/>
    <s v="Dubai"/>
    <s v="Lahore-Dubai"/>
    <d v="2025-09-03T06:30:00"/>
    <n v="4"/>
    <x v="0"/>
    <n v="180"/>
    <n v="166"/>
    <n v="0.92222222222222228"/>
    <x v="1"/>
    <n v="118893.72"/>
    <n v="19736357.52"/>
    <s v="Air Traffic Control"/>
  </r>
  <r>
    <s v="FL2142"/>
    <x v="1"/>
    <x v="0"/>
    <s v="Jeddah"/>
    <s v="Karachi-Jeddah"/>
    <d v="2026-01-16T16:00:00"/>
    <n v="37"/>
    <x v="1"/>
    <n v="72"/>
    <n v="28"/>
    <n v="0.3888888888888889"/>
    <x v="0"/>
    <n v="59898.71"/>
    <n v="1677163.88"/>
    <s v="Crew"/>
  </r>
  <r>
    <s v="FL2143"/>
    <x v="0"/>
    <x v="0"/>
    <s v="Jeddah"/>
    <s v="Karachi-Jeddah"/>
    <d v="2025-10-15T22:30:00"/>
    <n v="60"/>
    <x v="3"/>
    <n v="186"/>
    <n v="67"/>
    <n v="0.36021505376344087"/>
    <x v="0"/>
    <n v="51764.73"/>
    <n v="3468236.91"/>
    <s v="Technical"/>
  </r>
  <r>
    <s v="FL2144"/>
    <x v="2"/>
    <x v="0"/>
    <s v="Dubai"/>
    <s v="Karachi-Dubai"/>
    <d v="2025-12-19T16:30:00"/>
    <n v="19"/>
    <x v="2"/>
    <n v="220"/>
    <n v="167"/>
    <n v="0.75909090909090904"/>
    <x v="1"/>
    <n v="67312.62"/>
    <n v="11241207.539999999"/>
    <s v="Technical"/>
  </r>
  <r>
    <s v="FL2145"/>
    <x v="1"/>
    <x v="1"/>
    <s v="Dubai"/>
    <s v="Lahore-Dubai"/>
    <d v="2025-09-28T05:45:00"/>
    <n v="0"/>
    <x v="2"/>
    <n v="220"/>
    <n v="207"/>
    <n v="0.94090909090909092"/>
    <x v="0"/>
    <n v="54234.16"/>
    <n v="11226471.120000001"/>
    <s v="None"/>
  </r>
  <r>
    <s v="FL2146"/>
    <x v="1"/>
    <x v="0"/>
    <s v="Lahore"/>
    <s v="Karachi-Lahore"/>
    <d v="2025-12-14T13:30:00"/>
    <n v="14"/>
    <x v="3"/>
    <n v="186"/>
    <n v="95"/>
    <n v="0.510752688172043"/>
    <x v="0"/>
    <n v="36179.379999999997"/>
    <n v="3437041.0999999996"/>
    <s v="Weather"/>
  </r>
  <r>
    <s v="FL2147"/>
    <x v="3"/>
    <x v="0"/>
    <s v="Lahore"/>
    <s v="Karachi-Lahore"/>
    <d v="2025-07-25T12:15:00"/>
    <n v="25"/>
    <x v="3"/>
    <n v="186"/>
    <n v="86"/>
    <n v="0.46236559139784944"/>
    <x v="1"/>
    <n v="116099.98"/>
    <n v="9984598.2799999993"/>
    <s v="Crew"/>
  </r>
  <r>
    <s v="FL2148"/>
    <x v="3"/>
    <x v="0"/>
    <s v="Jeddah"/>
    <s v="Karachi-Jeddah"/>
    <d v="2026-04-02T13:45:00"/>
    <n v="23"/>
    <x v="2"/>
    <n v="220"/>
    <n v="158"/>
    <n v="0.71818181818181814"/>
    <x v="0"/>
    <n v="53250.36"/>
    <n v="8413556.8800000008"/>
    <s v="Crew"/>
  </r>
  <r>
    <s v="FL2149"/>
    <x v="1"/>
    <x v="0"/>
    <s v="Jeddah"/>
    <s v="Karachi-Jeddah"/>
    <d v="2025-08-05T14:15:00"/>
    <n v="6"/>
    <x v="3"/>
    <n v="186"/>
    <n v="117"/>
    <n v="0.62903225806451613"/>
    <x v="0"/>
    <n v="44273.37"/>
    <n v="5179984.29"/>
    <s v="Technical"/>
  </r>
  <r>
    <s v="FL2150"/>
    <x v="2"/>
    <x v="0"/>
    <s v="Lahore"/>
    <s v="Karachi-Lahore"/>
    <d v="2026-02-01T09:45:00"/>
    <n v="0"/>
    <x v="1"/>
    <n v="72"/>
    <n v="27"/>
    <n v="0.375"/>
    <x v="0"/>
    <n v="19813.419999999998"/>
    <n v="534962.34"/>
    <s v="None"/>
  </r>
  <r>
    <s v="FL2151"/>
    <x v="2"/>
    <x v="0"/>
    <s v="Jeddah"/>
    <s v="Karachi-Jeddah"/>
    <d v="2025-07-01T12:00:00"/>
    <n v="5"/>
    <x v="0"/>
    <n v="180"/>
    <n v="143"/>
    <n v="0.7944444444444444"/>
    <x v="1"/>
    <n v="94771.89"/>
    <n v="13552380.27"/>
    <s v="Weather"/>
  </r>
  <r>
    <s v="FL2152"/>
    <x v="3"/>
    <x v="1"/>
    <s v="Islamabad"/>
    <s v="Lahore-Islamabad"/>
    <d v="2026-05-06T09:30:00"/>
    <n v="28"/>
    <x v="0"/>
    <n v="180"/>
    <n v="131"/>
    <n v="0.72777777777777775"/>
    <x v="1"/>
    <n v="55419.02"/>
    <n v="7259891.6199999992"/>
    <s v="Air Traffic Control"/>
  </r>
  <r>
    <s v="FL2153"/>
    <x v="3"/>
    <x v="0"/>
    <s v="Jeddah"/>
    <s v="Karachi-Jeddah"/>
    <d v="2025-08-01T19:30:00"/>
    <n v="0"/>
    <x v="2"/>
    <n v="220"/>
    <n v="162"/>
    <n v="0.73636363636363633"/>
    <x v="1"/>
    <n v="79718.41"/>
    <n v="12914382.42"/>
    <s v="None"/>
  </r>
  <r>
    <s v="FL2154"/>
    <x v="1"/>
    <x v="2"/>
    <s v="Jeddah"/>
    <s v="Islamabad-Jeddah"/>
    <d v="2025-09-03T21:15:00"/>
    <n v="0"/>
    <x v="1"/>
    <n v="72"/>
    <n v="38"/>
    <n v="0.52777777777777779"/>
    <x v="1"/>
    <n v="113471.92"/>
    <n v="4311932.96"/>
    <s v="None"/>
  </r>
  <r>
    <s v="FL2155"/>
    <x v="1"/>
    <x v="1"/>
    <s v="Dubai"/>
    <s v="Lahore-Dubai"/>
    <d v="2025-09-08T15:15:00"/>
    <n v="15"/>
    <x v="1"/>
    <n v="72"/>
    <n v="72"/>
    <n v="1"/>
    <x v="1"/>
    <n v="76166.490000000005"/>
    <n v="5483987.2800000003"/>
    <s v="Technical"/>
  </r>
  <r>
    <s v="FL2156"/>
    <x v="0"/>
    <x v="2"/>
    <s v="Jeddah"/>
    <s v="Islamabad-Jeddah"/>
    <d v="2025-11-12T10:45:00"/>
    <n v="4"/>
    <x v="2"/>
    <n v="220"/>
    <n v="206"/>
    <n v="0.9363636363636364"/>
    <x v="0"/>
    <n v="50947.99"/>
    <n v="10495285.939999999"/>
    <s v="Crew"/>
  </r>
  <r>
    <s v="FL2157"/>
    <x v="0"/>
    <x v="0"/>
    <s v="Jeddah"/>
    <s v="Karachi-Jeddah"/>
    <d v="2026-01-04T12:30:00"/>
    <n v="33"/>
    <x v="2"/>
    <n v="220"/>
    <n v="218"/>
    <n v="0.99090909090909096"/>
    <x v="0"/>
    <n v="18383.77"/>
    <n v="4007661.86"/>
    <s v="Crew"/>
  </r>
  <r>
    <s v="FL2158"/>
    <x v="1"/>
    <x v="1"/>
    <s v="Dubai"/>
    <s v="Lahore-Dubai"/>
    <d v="2026-03-21T19:45:00"/>
    <n v="35"/>
    <x v="1"/>
    <n v="72"/>
    <n v="33"/>
    <n v="0.45833333333333331"/>
    <x v="0"/>
    <n v="17324.3"/>
    <n v="571701.9"/>
    <s v="Crew"/>
  </r>
  <r>
    <s v="FL2159"/>
    <x v="2"/>
    <x v="0"/>
    <s v="Lahore"/>
    <s v="Karachi-Lahore"/>
    <d v="2025-10-01T09:30:00"/>
    <n v="19"/>
    <x v="0"/>
    <n v="180"/>
    <n v="103"/>
    <n v="0.57222222222222219"/>
    <x v="1"/>
    <n v="77772.58"/>
    <n v="8010575.7400000002"/>
    <s v="Technical"/>
  </r>
  <r>
    <s v="FL2160"/>
    <x v="1"/>
    <x v="0"/>
    <s v="Lahore"/>
    <s v="Karachi-Lahore"/>
    <d v="2025-12-10T18:45:00"/>
    <n v="33"/>
    <x v="3"/>
    <n v="186"/>
    <n v="65"/>
    <n v="0.34946236559139787"/>
    <x v="1"/>
    <n v="85869.07"/>
    <n v="5581489.5500000007"/>
    <s v="Weather"/>
  </r>
  <r>
    <s v="FL2161"/>
    <x v="0"/>
    <x v="0"/>
    <s v="Dubai"/>
    <s v="Karachi-Dubai"/>
    <d v="2026-03-26T21:00:00"/>
    <n v="68"/>
    <x v="2"/>
    <n v="220"/>
    <n v="94"/>
    <n v="0.42727272727272725"/>
    <x v="1"/>
    <n v="71514.02"/>
    <n v="6722317.8800000008"/>
    <s v="Air Traffic Control"/>
  </r>
  <r>
    <s v="FL2162"/>
    <x v="0"/>
    <x v="0"/>
    <s v="Jeddah"/>
    <s v="Karachi-Jeddah"/>
    <d v="2026-04-26T09:00:00"/>
    <n v="0"/>
    <x v="1"/>
    <n v="72"/>
    <n v="36"/>
    <n v="0.5"/>
    <x v="0"/>
    <n v="48107.199999999997"/>
    <n v="1731859.2"/>
    <s v="None"/>
  </r>
  <r>
    <s v="FL2163"/>
    <x v="2"/>
    <x v="1"/>
    <s v="Dubai"/>
    <s v="Lahore-Dubai"/>
    <d v="2026-05-29T09:15:00"/>
    <n v="30"/>
    <x v="1"/>
    <n v="72"/>
    <n v="45"/>
    <n v="0.625"/>
    <x v="0"/>
    <n v="56070.48"/>
    <n v="2523171.6"/>
    <s v="Crew"/>
  </r>
  <r>
    <s v="FL2164"/>
    <x v="1"/>
    <x v="0"/>
    <s v="Islamabad"/>
    <s v="Karachi-Islamabad"/>
    <d v="2025-11-25T16:30:00"/>
    <n v="43"/>
    <x v="2"/>
    <n v="220"/>
    <n v="99"/>
    <n v="0.45"/>
    <x v="1"/>
    <n v="147270.85"/>
    <n v="14579814.15"/>
    <s v="Air Traffic Control"/>
  </r>
  <r>
    <s v="FL2165"/>
    <x v="1"/>
    <x v="2"/>
    <s v="Jeddah"/>
    <s v="Islamabad-Jeddah"/>
    <d v="2026-05-12T13:30:00"/>
    <n v="0"/>
    <x v="3"/>
    <n v="186"/>
    <n v="141"/>
    <n v="0.75806451612903225"/>
    <x v="0"/>
    <n v="56578.63"/>
    <n v="7977586.8300000001"/>
    <s v="None"/>
  </r>
  <r>
    <s v="FL2166"/>
    <x v="0"/>
    <x v="1"/>
    <s v="Dubai"/>
    <s v="Lahore-Dubai"/>
    <d v="2026-01-23T21:15:00"/>
    <n v="0"/>
    <x v="2"/>
    <n v="220"/>
    <n v="94"/>
    <n v="0.42727272727272725"/>
    <x v="1"/>
    <n v="110986.63"/>
    <n v="10432743.220000001"/>
    <s v="None"/>
  </r>
  <r>
    <s v="FL2167"/>
    <x v="3"/>
    <x v="2"/>
    <s v="Jeddah"/>
    <s v="Islamabad-Jeddah"/>
    <d v="2025-08-25T21:15:00"/>
    <n v="0"/>
    <x v="3"/>
    <n v="186"/>
    <n v="127"/>
    <n v="0.68279569892473113"/>
    <x v="0"/>
    <n v="59894.11"/>
    <n v="7606551.9699999997"/>
    <s v="None"/>
  </r>
  <r>
    <s v="FL2168"/>
    <x v="0"/>
    <x v="0"/>
    <s v="Lahore"/>
    <s v="Karachi-Lahore"/>
    <d v="2026-01-17T23:30:00"/>
    <n v="1"/>
    <x v="3"/>
    <n v="186"/>
    <n v="67"/>
    <n v="0.36021505376344087"/>
    <x v="0"/>
    <n v="51612.6"/>
    <n v="3458044.1999999997"/>
    <s v="Air Traffic Control"/>
  </r>
  <r>
    <s v="FL2169"/>
    <x v="3"/>
    <x v="1"/>
    <s v="London"/>
    <s v="Lahore-London"/>
    <d v="2026-04-29T08:00:00"/>
    <n v="4"/>
    <x v="1"/>
    <n v="72"/>
    <n v="66"/>
    <n v="0.91666666666666663"/>
    <x v="0"/>
    <n v="49748.76"/>
    <n v="3283418.16"/>
    <s v="Technical"/>
  </r>
  <r>
    <s v="FL2170"/>
    <x v="2"/>
    <x v="2"/>
    <s v="Jeddah"/>
    <s v="Islamabad-Jeddah"/>
    <d v="2026-01-22T09:45:00"/>
    <n v="39"/>
    <x v="2"/>
    <n v="220"/>
    <n v="215"/>
    <n v="0.97727272727272729"/>
    <x v="0"/>
    <n v="31565.06"/>
    <n v="6786487.9000000004"/>
    <s v="Crew"/>
  </r>
  <r>
    <s v="FL2171"/>
    <x v="1"/>
    <x v="0"/>
    <s v="Islamabad"/>
    <s v="Karachi-Islamabad"/>
    <d v="2025-11-04T09:45:00"/>
    <n v="7"/>
    <x v="2"/>
    <n v="220"/>
    <n v="128"/>
    <n v="0.58181818181818179"/>
    <x v="1"/>
    <n v="51202.26"/>
    <n v="6553889.2800000003"/>
    <s v="Technical"/>
  </r>
  <r>
    <s v="FL2172"/>
    <x v="2"/>
    <x v="1"/>
    <s v="Islamabad"/>
    <s v="Lahore-Islamabad"/>
    <d v="2025-08-12T11:15:00"/>
    <n v="28"/>
    <x v="2"/>
    <n v="220"/>
    <n v="195"/>
    <n v="0.88636363636363635"/>
    <x v="1"/>
    <n v="128735.9"/>
    <n v="25103500.5"/>
    <s v="Technical"/>
  </r>
  <r>
    <s v="FL2173"/>
    <x v="3"/>
    <x v="1"/>
    <s v="Islamabad"/>
    <s v="Lahore-Islamabad"/>
    <d v="2025-11-23T21:30:00"/>
    <n v="52"/>
    <x v="1"/>
    <n v="72"/>
    <n v="32"/>
    <n v="0.44444444444444442"/>
    <x v="0"/>
    <n v="11168.75"/>
    <n v="357400"/>
    <s v="Crew"/>
  </r>
  <r>
    <s v="FL2174"/>
    <x v="1"/>
    <x v="1"/>
    <s v="Islamabad"/>
    <s v="Lahore-Islamabad"/>
    <d v="2025-07-11T18:30:00"/>
    <n v="0"/>
    <x v="1"/>
    <n v="72"/>
    <n v="32"/>
    <n v="0.44444444444444442"/>
    <x v="0"/>
    <n v="22000.48"/>
    <n v="704015.35999999999"/>
    <s v="None"/>
  </r>
  <r>
    <s v="FL2175"/>
    <x v="0"/>
    <x v="0"/>
    <s v="Islamabad"/>
    <s v="Karachi-Islamabad"/>
    <d v="2025-07-09T22:00:00"/>
    <n v="40"/>
    <x v="2"/>
    <n v="220"/>
    <n v="169"/>
    <n v="0.76818181818181819"/>
    <x v="1"/>
    <n v="134184.85999999999"/>
    <n v="22677241.339999996"/>
    <s v="Technical"/>
  </r>
  <r>
    <s v="FL2176"/>
    <x v="0"/>
    <x v="1"/>
    <s v="Islamabad"/>
    <s v="Lahore-Islamabad"/>
    <d v="2025-08-12T21:00:00"/>
    <n v="0"/>
    <x v="1"/>
    <n v="72"/>
    <n v="64"/>
    <n v="0.88888888888888884"/>
    <x v="1"/>
    <n v="52676.81"/>
    <n v="3371315.84"/>
    <s v="None"/>
  </r>
  <r>
    <s v="FL2177"/>
    <x v="0"/>
    <x v="0"/>
    <s v="Lahore"/>
    <s v="Karachi-Lahore"/>
    <d v="2025-11-11T16:00:00"/>
    <n v="43"/>
    <x v="0"/>
    <n v="180"/>
    <n v="125"/>
    <n v="0.69444444444444442"/>
    <x v="1"/>
    <n v="126158.72"/>
    <n v="15769840"/>
    <s v="Weather"/>
  </r>
  <r>
    <s v="FL2178"/>
    <x v="2"/>
    <x v="1"/>
    <s v="London"/>
    <s v="Lahore-London"/>
    <d v="2026-02-04T08:30:00"/>
    <n v="35"/>
    <x v="3"/>
    <n v="186"/>
    <n v="153"/>
    <n v="0.82258064516129037"/>
    <x v="0"/>
    <n v="18045.73"/>
    <n v="2760996.69"/>
    <s v="Crew"/>
  </r>
  <r>
    <s v="FL2179"/>
    <x v="1"/>
    <x v="0"/>
    <s v="Lahore"/>
    <s v="Karachi-Lahore"/>
    <d v="2025-12-16T09:00:00"/>
    <n v="0"/>
    <x v="1"/>
    <n v="72"/>
    <n v="39"/>
    <n v="0.54166666666666663"/>
    <x v="0"/>
    <n v="37087"/>
    <n v="1446393"/>
    <s v="None"/>
  </r>
  <r>
    <s v="FL2180"/>
    <x v="2"/>
    <x v="0"/>
    <s v="Dubai"/>
    <s v="Karachi-Dubai"/>
    <d v="2025-11-01T21:30:00"/>
    <n v="28"/>
    <x v="0"/>
    <n v="180"/>
    <n v="91"/>
    <n v="0.50555555555555554"/>
    <x v="0"/>
    <n v="57123.08"/>
    <n v="5198200.28"/>
    <s v="Weather"/>
  </r>
  <r>
    <s v="FL2181"/>
    <x v="0"/>
    <x v="0"/>
    <s v="Dubai"/>
    <s v="Karachi-Dubai"/>
    <d v="2025-10-10T08:45:00"/>
    <n v="63"/>
    <x v="1"/>
    <n v="72"/>
    <n v="40"/>
    <n v="0.55555555555555558"/>
    <x v="1"/>
    <n v="126157.29"/>
    <n v="5046291.5999999996"/>
    <s v="Technical"/>
  </r>
  <r>
    <s v="FL2182"/>
    <x v="1"/>
    <x v="1"/>
    <s v="Islamabad"/>
    <s v="Lahore-Islamabad"/>
    <d v="2026-01-10T20:30:00"/>
    <n v="26"/>
    <x v="1"/>
    <n v="72"/>
    <n v="52"/>
    <n v="0.72222222222222221"/>
    <x v="0"/>
    <n v="10145"/>
    <n v="527540"/>
    <s v="Technical"/>
  </r>
  <r>
    <s v="FL2183"/>
    <x v="0"/>
    <x v="0"/>
    <s v="Lahore"/>
    <s v="Karachi-Lahore"/>
    <d v="2025-10-01T05:45:00"/>
    <n v="10"/>
    <x v="3"/>
    <n v="186"/>
    <n v="72"/>
    <n v="0.38709677419354838"/>
    <x v="0"/>
    <n v="50957.41"/>
    <n v="3668933.5200000005"/>
    <s v="Weather"/>
  </r>
  <r>
    <s v="FL2184"/>
    <x v="1"/>
    <x v="2"/>
    <s v="Jeddah"/>
    <s v="Islamabad-Jeddah"/>
    <d v="2026-01-18T21:00:00"/>
    <n v="0"/>
    <x v="2"/>
    <n v="220"/>
    <n v="180"/>
    <n v="0.81818181818181823"/>
    <x v="1"/>
    <n v="119975.31"/>
    <n v="21595555.800000001"/>
    <s v="None"/>
  </r>
  <r>
    <s v="FL2185"/>
    <x v="0"/>
    <x v="0"/>
    <s v="Jeddah"/>
    <s v="Karachi-Jeddah"/>
    <d v="2025-12-16T07:45:00"/>
    <n v="0"/>
    <x v="1"/>
    <n v="72"/>
    <n v="27"/>
    <n v="0.375"/>
    <x v="0"/>
    <n v="13224.74"/>
    <n v="357067.98"/>
    <s v="None"/>
  </r>
  <r>
    <s v="FL2186"/>
    <x v="1"/>
    <x v="0"/>
    <s v="Dubai"/>
    <s v="Karachi-Dubai"/>
    <d v="2025-09-25T17:30:00"/>
    <n v="0"/>
    <x v="3"/>
    <n v="186"/>
    <n v="130"/>
    <n v="0.69892473118279574"/>
    <x v="1"/>
    <n v="103368.94"/>
    <n v="13437962.200000001"/>
    <s v="None"/>
  </r>
  <r>
    <s v="FL2187"/>
    <x v="1"/>
    <x v="0"/>
    <s v="Islamabad"/>
    <s v="Karachi-Islamabad"/>
    <d v="2026-01-30T16:15:00"/>
    <n v="0"/>
    <x v="0"/>
    <n v="180"/>
    <n v="146"/>
    <n v="0.81111111111111112"/>
    <x v="0"/>
    <n v="34300.120000000003"/>
    <n v="5007817.5200000005"/>
    <s v="None"/>
  </r>
  <r>
    <s v="FL2188"/>
    <x v="0"/>
    <x v="0"/>
    <s v="Islamabad"/>
    <s v="Karachi-Islamabad"/>
    <d v="2026-03-20T04:30:00"/>
    <n v="0"/>
    <x v="2"/>
    <n v="220"/>
    <n v="107"/>
    <n v="0.48636363636363639"/>
    <x v="0"/>
    <n v="35366.6"/>
    <n v="3784226.1999999997"/>
    <s v="None"/>
  </r>
  <r>
    <s v="FL2189"/>
    <x v="3"/>
    <x v="0"/>
    <s v="Jeddah"/>
    <s v="Karachi-Jeddah"/>
    <d v="2025-12-08T06:15:00"/>
    <n v="7"/>
    <x v="0"/>
    <n v="180"/>
    <n v="132"/>
    <n v="0.73333333333333328"/>
    <x v="1"/>
    <n v="138320.79999999999"/>
    <n v="18258345.599999998"/>
    <s v="Air Traffic Control"/>
  </r>
  <r>
    <s v="FL2190"/>
    <x v="2"/>
    <x v="0"/>
    <s v="Jeddah"/>
    <s v="Karachi-Jeddah"/>
    <d v="2026-01-12T10:30:00"/>
    <n v="0"/>
    <x v="0"/>
    <n v="180"/>
    <n v="64"/>
    <n v="0.35555555555555557"/>
    <x v="1"/>
    <n v="116429.29"/>
    <n v="7451474.5599999996"/>
    <s v="None"/>
  </r>
  <r>
    <s v="FL2191"/>
    <x v="1"/>
    <x v="0"/>
    <s v="Jeddah"/>
    <s v="Karachi-Jeddah"/>
    <d v="2026-01-28T12:15:00"/>
    <n v="11"/>
    <x v="1"/>
    <n v="72"/>
    <n v="57"/>
    <n v="0.79166666666666663"/>
    <x v="0"/>
    <n v="16934.53"/>
    <n v="965268.21"/>
    <s v="Crew"/>
  </r>
  <r>
    <s v="FL2192"/>
    <x v="0"/>
    <x v="0"/>
    <s v="Jeddah"/>
    <s v="Karachi-Jeddah"/>
    <d v="2025-12-01T21:15:00"/>
    <n v="18"/>
    <x v="3"/>
    <n v="186"/>
    <n v="75"/>
    <n v="0.40322580645161288"/>
    <x v="0"/>
    <n v="31082"/>
    <n v="2331150"/>
    <s v="Weather"/>
  </r>
  <r>
    <s v="FL2193"/>
    <x v="3"/>
    <x v="1"/>
    <s v="London"/>
    <s v="Lahore-London"/>
    <d v="2025-09-13T08:15:00"/>
    <n v="0"/>
    <x v="0"/>
    <n v="180"/>
    <n v="94"/>
    <n v="0.52222222222222225"/>
    <x v="1"/>
    <n v="105309.3"/>
    <n v="9899074.2000000011"/>
    <s v="None"/>
  </r>
  <r>
    <s v="FL2194"/>
    <x v="1"/>
    <x v="0"/>
    <s v="Jeddah"/>
    <s v="Karachi-Jeddah"/>
    <d v="2025-07-18T23:45:00"/>
    <n v="0"/>
    <x v="2"/>
    <n v="220"/>
    <n v="99"/>
    <n v="0.45"/>
    <x v="0"/>
    <n v="16947.689999999999"/>
    <n v="1677821.3099999998"/>
    <s v="None"/>
  </r>
  <r>
    <s v="FL2195"/>
    <x v="2"/>
    <x v="0"/>
    <s v="Islamabad"/>
    <s v="Karachi-Islamabad"/>
    <d v="2026-05-17T09:30:00"/>
    <n v="40"/>
    <x v="1"/>
    <n v="72"/>
    <n v="49"/>
    <n v="0.68055555555555558"/>
    <x v="0"/>
    <n v="52439.61"/>
    <n v="2569540.89"/>
    <s v="Air Traffic Control"/>
  </r>
  <r>
    <s v="FL2196"/>
    <x v="2"/>
    <x v="2"/>
    <s v="Jeddah"/>
    <s v="Islamabad-Jeddah"/>
    <d v="2025-07-25T11:15:00"/>
    <n v="29"/>
    <x v="3"/>
    <n v="186"/>
    <n v="99"/>
    <n v="0.532258064516129"/>
    <x v="0"/>
    <n v="24201.4"/>
    <n v="2395938.6"/>
    <s v="Weather"/>
  </r>
  <r>
    <s v="FL2197"/>
    <x v="2"/>
    <x v="0"/>
    <s v="Dubai"/>
    <s v="Karachi-Dubai"/>
    <d v="2025-11-24T14:15:00"/>
    <n v="16"/>
    <x v="0"/>
    <n v="180"/>
    <n v="145"/>
    <n v="0.80555555555555558"/>
    <x v="1"/>
    <n v="149876.65"/>
    <n v="21732114.25"/>
    <s v="Air Traffic Control"/>
  </r>
  <r>
    <s v="FL2198"/>
    <x v="1"/>
    <x v="1"/>
    <s v="Islamabad"/>
    <s v="Lahore-Islamabad"/>
    <d v="2025-08-13T04:15:00"/>
    <n v="0"/>
    <x v="3"/>
    <n v="186"/>
    <n v="107"/>
    <n v="0.57526881720430112"/>
    <x v="1"/>
    <n v="63712.28"/>
    <n v="6817213.96"/>
    <s v="None"/>
  </r>
  <r>
    <s v="FL2199"/>
    <x v="2"/>
    <x v="1"/>
    <s v="Dubai"/>
    <s v="Lahore-Dubai"/>
    <d v="2026-04-27T16:00:00"/>
    <n v="42"/>
    <x v="1"/>
    <n v="72"/>
    <n v="53"/>
    <n v="0.73611111111111116"/>
    <x v="1"/>
    <n v="105191.92"/>
    <n v="5575171.7599999998"/>
    <s v="Crew"/>
  </r>
  <r>
    <s v="FL2200"/>
    <x v="3"/>
    <x v="1"/>
    <s v="Dubai"/>
    <s v="Lahore-Dubai"/>
    <d v="2025-09-01T10:00:00"/>
    <n v="25"/>
    <x v="1"/>
    <n v="72"/>
    <n v="25"/>
    <n v="0.34722222222222221"/>
    <x v="0"/>
    <n v="29467.1"/>
    <n v="736677.5"/>
    <s v="Technical"/>
  </r>
  <r>
    <s v="FL2201"/>
    <x v="2"/>
    <x v="0"/>
    <s v="Jeddah"/>
    <s v="Karachi-Jeddah"/>
    <d v="2025-10-08T19:15:00"/>
    <n v="14"/>
    <x v="2"/>
    <n v="220"/>
    <n v="162"/>
    <n v="0.73636363636363633"/>
    <x v="1"/>
    <n v="146835.71"/>
    <n v="23787385.02"/>
    <s v="Technical"/>
  </r>
  <r>
    <s v="FL2202"/>
    <x v="2"/>
    <x v="0"/>
    <s v="Lahore"/>
    <s v="Karachi-Lahore"/>
    <d v="2025-07-02T07:15:00"/>
    <n v="0"/>
    <x v="0"/>
    <n v="180"/>
    <n v="83"/>
    <n v="0.46111111111111114"/>
    <x v="0"/>
    <n v="47800.94"/>
    <n v="3967478.02"/>
    <s v="None"/>
  </r>
  <r>
    <s v="FL2203"/>
    <x v="0"/>
    <x v="0"/>
    <s v="Jeddah"/>
    <s v="Karachi-Jeddah"/>
    <d v="2026-04-14T18:45:00"/>
    <n v="30"/>
    <x v="0"/>
    <n v="180"/>
    <n v="174"/>
    <n v="0.96666666666666667"/>
    <x v="1"/>
    <n v="112443.57"/>
    <n v="19565181.18"/>
    <s v="Crew"/>
  </r>
  <r>
    <s v="FL2204"/>
    <x v="1"/>
    <x v="0"/>
    <s v="Islamabad"/>
    <s v="Karachi-Islamabad"/>
    <d v="2026-05-31T21:00:00"/>
    <n v="11"/>
    <x v="3"/>
    <n v="186"/>
    <n v="156"/>
    <n v="0.83870967741935487"/>
    <x v="1"/>
    <n v="74364.460000000006"/>
    <n v="11600855.760000002"/>
    <s v="Air Traffic Control"/>
  </r>
  <r>
    <s v="FL2205"/>
    <x v="2"/>
    <x v="0"/>
    <s v="Lahore"/>
    <s v="Karachi-Lahore"/>
    <d v="2025-09-16T09:15:00"/>
    <n v="38"/>
    <x v="2"/>
    <n v="220"/>
    <n v="187"/>
    <n v="0.85"/>
    <x v="1"/>
    <n v="78690.679999999993"/>
    <n v="14715157.159999998"/>
    <s v="Weather"/>
  </r>
  <r>
    <s v="FL2206"/>
    <x v="2"/>
    <x v="0"/>
    <s v="Islamabad"/>
    <s v="Karachi-Islamabad"/>
    <d v="2026-04-15T16:45:00"/>
    <n v="6"/>
    <x v="2"/>
    <n v="220"/>
    <n v="122"/>
    <n v="0.55454545454545456"/>
    <x v="1"/>
    <n v="91169.21"/>
    <n v="11122643.620000001"/>
    <s v="Technical"/>
  </r>
  <r>
    <s v="FL2207"/>
    <x v="0"/>
    <x v="0"/>
    <s v="Jeddah"/>
    <s v="Karachi-Jeddah"/>
    <d v="2025-09-02T06:45:00"/>
    <n v="20"/>
    <x v="2"/>
    <n v="220"/>
    <n v="151"/>
    <n v="0.6863636363636364"/>
    <x v="0"/>
    <n v="57831.81"/>
    <n v="8732603.3100000005"/>
    <s v="Crew"/>
  </r>
  <r>
    <s v="FL2208"/>
    <x v="1"/>
    <x v="1"/>
    <s v="Dubai"/>
    <s v="Lahore-Dubai"/>
    <d v="2025-08-10T12:00:00"/>
    <n v="30"/>
    <x v="0"/>
    <n v="180"/>
    <n v="88"/>
    <n v="0.48888888888888887"/>
    <x v="1"/>
    <n v="146098.26999999999"/>
    <n v="12856647.76"/>
    <s v="Weather"/>
  </r>
  <r>
    <s v="FL2209"/>
    <x v="0"/>
    <x v="0"/>
    <s v="Jeddah"/>
    <s v="Karachi-Jeddah"/>
    <d v="2025-11-07T17:45:00"/>
    <n v="0"/>
    <x v="3"/>
    <n v="186"/>
    <n v="124"/>
    <n v="0.66666666666666663"/>
    <x v="1"/>
    <n v="66169.23"/>
    <n v="8204984.5199999996"/>
    <s v="None"/>
  </r>
  <r>
    <s v="FL2210"/>
    <x v="0"/>
    <x v="1"/>
    <s v="Islamabad"/>
    <s v="Lahore-Islamabad"/>
    <d v="2025-12-04T12:15:00"/>
    <n v="9"/>
    <x v="2"/>
    <n v="220"/>
    <n v="163"/>
    <n v="0.74090909090909096"/>
    <x v="0"/>
    <n v="23345.919999999998"/>
    <n v="3805384.9599999995"/>
    <s v="Crew"/>
  </r>
  <r>
    <s v="FL2211"/>
    <x v="1"/>
    <x v="0"/>
    <s v="Lahore"/>
    <s v="Karachi-Lahore"/>
    <d v="2026-02-05T10:15:00"/>
    <n v="36"/>
    <x v="0"/>
    <n v="180"/>
    <n v="78"/>
    <n v="0.43333333333333335"/>
    <x v="0"/>
    <n v="24447.29"/>
    <n v="1906888.62"/>
    <s v="Crew"/>
  </r>
  <r>
    <s v="FL2212"/>
    <x v="3"/>
    <x v="1"/>
    <s v="Islamabad"/>
    <s v="Lahore-Islamabad"/>
    <d v="2025-08-16T16:00:00"/>
    <n v="17"/>
    <x v="0"/>
    <n v="180"/>
    <n v="118"/>
    <n v="0.65555555555555556"/>
    <x v="1"/>
    <n v="64243.48"/>
    <n v="7580730.6400000006"/>
    <s v="Weather"/>
  </r>
  <r>
    <s v="FL2213"/>
    <x v="2"/>
    <x v="1"/>
    <s v="Islamabad"/>
    <s v="Lahore-Islamabad"/>
    <d v="2026-01-08T04:00:00"/>
    <n v="2"/>
    <x v="0"/>
    <n v="180"/>
    <n v="131"/>
    <n v="0.72777777777777775"/>
    <x v="0"/>
    <n v="41652.730000000003"/>
    <n v="5456507.6300000008"/>
    <s v="Crew"/>
  </r>
  <r>
    <s v="FL2214"/>
    <x v="0"/>
    <x v="0"/>
    <s v="Islamabad"/>
    <s v="Karachi-Islamabad"/>
    <d v="2026-05-26T05:45:00"/>
    <n v="27"/>
    <x v="3"/>
    <n v="186"/>
    <n v="174"/>
    <n v="0.93548387096774188"/>
    <x v="0"/>
    <n v="24739.83"/>
    <n v="4304730.42"/>
    <s v="Crew"/>
  </r>
  <r>
    <s v="FL2215"/>
    <x v="3"/>
    <x v="0"/>
    <s v="Islamabad"/>
    <s v="Karachi-Islamabad"/>
    <d v="2025-08-03T04:30:00"/>
    <n v="24"/>
    <x v="2"/>
    <n v="220"/>
    <n v="204"/>
    <n v="0.92727272727272725"/>
    <x v="0"/>
    <n v="25491.759999999998"/>
    <n v="5200319.04"/>
    <s v="Crew"/>
  </r>
  <r>
    <s v="FL2216"/>
    <x v="0"/>
    <x v="1"/>
    <s v="London"/>
    <s v="Lahore-London"/>
    <d v="2025-10-29T09:45:00"/>
    <n v="1"/>
    <x v="0"/>
    <n v="180"/>
    <n v="66"/>
    <n v="0.36666666666666664"/>
    <x v="0"/>
    <n v="43296.97"/>
    <n v="2857600.02"/>
    <s v="Technical"/>
  </r>
  <r>
    <s v="FL2217"/>
    <x v="0"/>
    <x v="1"/>
    <s v="Dubai"/>
    <s v="Lahore-Dubai"/>
    <d v="2025-12-08T05:00:00"/>
    <n v="33"/>
    <x v="2"/>
    <n v="220"/>
    <n v="116"/>
    <n v="0.52727272727272723"/>
    <x v="0"/>
    <n v="54284.72"/>
    <n v="6297027.5200000005"/>
    <s v="Technical"/>
  </r>
  <r>
    <s v="FL2218"/>
    <x v="2"/>
    <x v="0"/>
    <s v="Islamabad"/>
    <s v="Karachi-Islamabad"/>
    <d v="2025-10-05T09:30:00"/>
    <n v="16"/>
    <x v="1"/>
    <n v="72"/>
    <n v="51"/>
    <n v="0.70833333333333337"/>
    <x v="0"/>
    <n v="40853.870000000003"/>
    <n v="2083547.37"/>
    <s v="Crew"/>
  </r>
  <r>
    <s v="FL2219"/>
    <x v="1"/>
    <x v="0"/>
    <s v="Islamabad"/>
    <s v="Karachi-Islamabad"/>
    <d v="2025-12-05T04:00:00"/>
    <n v="0"/>
    <x v="0"/>
    <n v="180"/>
    <n v="113"/>
    <n v="0.62777777777777777"/>
    <x v="0"/>
    <n v="51526.559999999998"/>
    <n v="5822501.2799999993"/>
    <s v="None"/>
  </r>
  <r>
    <s v="FL2220"/>
    <x v="3"/>
    <x v="0"/>
    <s v="Lahore"/>
    <s v="Karachi-Lahore"/>
    <d v="2025-10-14T22:30:00"/>
    <n v="0"/>
    <x v="3"/>
    <n v="186"/>
    <n v="155"/>
    <n v="0.83333333333333337"/>
    <x v="0"/>
    <n v="40078.120000000003"/>
    <n v="6212108.6000000006"/>
    <s v="None"/>
  </r>
  <r>
    <s v="FL2221"/>
    <x v="3"/>
    <x v="0"/>
    <s v="Dubai"/>
    <s v="Karachi-Dubai"/>
    <d v="2026-03-29T04:30:00"/>
    <n v="34"/>
    <x v="0"/>
    <n v="180"/>
    <n v="98"/>
    <n v="0.5444444444444444"/>
    <x v="0"/>
    <n v="43372.41"/>
    <n v="4250496.1800000006"/>
    <s v="Weather"/>
  </r>
  <r>
    <s v="FL2222"/>
    <x v="1"/>
    <x v="2"/>
    <s v="Jeddah"/>
    <s v="Islamabad-Jeddah"/>
    <d v="2025-10-01T15:45:00"/>
    <n v="8"/>
    <x v="3"/>
    <n v="186"/>
    <n v="163"/>
    <n v="0.87634408602150538"/>
    <x v="0"/>
    <n v="44622.22"/>
    <n v="7273421.8600000003"/>
    <s v="Technical"/>
  </r>
  <r>
    <s v="FL2223"/>
    <x v="3"/>
    <x v="0"/>
    <s v="Lahore"/>
    <s v="Karachi-Lahore"/>
    <d v="2026-01-03T15:45:00"/>
    <n v="10"/>
    <x v="3"/>
    <n v="186"/>
    <n v="69"/>
    <n v="0.37096774193548387"/>
    <x v="1"/>
    <n v="57750.62"/>
    <n v="3984792.7800000003"/>
    <s v="Crew"/>
  </r>
  <r>
    <s v="FL2224"/>
    <x v="3"/>
    <x v="0"/>
    <s v="Lahore"/>
    <s v="Karachi-Lahore"/>
    <d v="2025-12-08T21:00:00"/>
    <n v="0"/>
    <x v="2"/>
    <n v="220"/>
    <n v="114"/>
    <n v="0.51818181818181819"/>
    <x v="0"/>
    <n v="22903.9"/>
    <n v="2611044.6"/>
    <s v="None"/>
  </r>
  <r>
    <s v="FL2225"/>
    <x v="1"/>
    <x v="0"/>
    <s v="Islamabad"/>
    <s v="Karachi-Islamabad"/>
    <d v="2026-05-21T10:30:00"/>
    <n v="52"/>
    <x v="0"/>
    <n v="180"/>
    <n v="179"/>
    <n v="0.99444444444444446"/>
    <x v="1"/>
    <n v="119892.97"/>
    <n v="21460841.629999999"/>
    <s v="Air Traffic Control"/>
  </r>
  <r>
    <s v="FL2226"/>
    <x v="3"/>
    <x v="0"/>
    <s v="Lahore"/>
    <s v="Karachi-Lahore"/>
    <d v="2025-08-08T12:30:00"/>
    <n v="33"/>
    <x v="1"/>
    <n v="72"/>
    <n v="44"/>
    <n v="0.61111111111111116"/>
    <x v="0"/>
    <n v="55272.06"/>
    <n v="2431970.6399999997"/>
    <s v="Weather"/>
  </r>
  <r>
    <s v="FL2227"/>
    <x v="0"/>
    <x v="1"/>
    <s v="London"/>
    <s v="Lahore-London"/>
    <d v="2026-05-16T09:45:00"/>
    <n v="0"/>
    <x v="2"/>
    <n v="220"/>
    <n v="162"/>
    <n v="0.73636363636363633"/>
    <x v="1"/>
    <n v="95408.83"/>
    <n v="15456230.460000001"/>
    <s v="None"/>
  </r>
  <r>
    <s v="FL2228"/>
    <x v="3"/>
    <x v="0"/>
    <s v="Dubai"/>
    <s v="Karachi-Dubai"/>
    <d v="2026-03-08T18:45:00"/>
    <n v="27"/>
    <x v="0"/>
    <n v="180"/>
    <n v="156"/>
    <n v="0.8666666666666667"/>
    <x v="0"/>
    <n v="38701.51"/>
    <n v="6037435.5600000005"/>
    <s v="Weather"/>
  </r>
  <r>
    <s v="FL2229"/>
    <x v="1"/>
    <x v="0"/>
    <s v="Lahore"/>
    <s v="Karachi-Lahore"/>
    <d v="2026-04-18T05:45:00"/>
    <n v="15"/>
    <x v="0"/>
    <n v="180"/>
    <n v="65"/>
    <n v="0.3611111111111111"/>
    <x v="1"/>
    <n v="134508.82999999999"/>
    <n v="8743073.9499999993"/>
    <s v="Air Traffic Control"/>
  </r>
  <r>
    <s v="FL2230"/>
    <x v="1"/>
    <x v="0"/>
    <s v="Lahore"/>
    <s v="Karachi-Lahore"/>
    <d v="2025-10-16T15:00:00"/>
    <n v="8"/>
    <x v="3"/>
    <n v="186"/>
    <n v="164"/>
    <n v="0.88172043010752688"/>
    <x v="0"/>
    <n v="43010.07"/>
    <n v="7053651.4799999995"/>
    <s v="Weather"/>
  </r>
  <r>
    <s v="FL2231"/>
    <x v="3"/>
    <x v="0"/>
    <s v="Lahore"/>
    <s v="Karachi-Lahore"/>
    <d v="2025-07-11T05:00:00"/>
    <n v="0"/>
    <x v="0"/>
    <n v="180"/>
    <n v="141"/>
    <n v="0.78333333333333333"/>
    <x v="0"/>
    <n v="50127.71"/>
    <n v="7068007.1100000003"/>
    <s v="None"/>
  </r>
  <r>
    <s v="FL2232"/>
    <x v="1"/>
    <x v="0"/>
    <s v="Islamabad"/>
    <s v="Karachi-Islamabad"/>
    <d v="2025-09-29T21:45:00"/>
    <n v="16"/>
    <x v="2"/>
    <n v="220"/>
    <n v="220"/>
    <n v="1"/>
    <x v="1"/>
    <n v="119162.11"/>
    <n v="26215664.199999999"/>
    <s v="Weather"/>
  </r>
  <r>
    <s v="FL2233"/>
    <x v="2"/>
    <x v="1"/>
    <s v="London"/>
    <s v="Lahore-London"/>
    <d v="2026-04-20T10:45:00"/>
    <n v="0"/>
    <x v="1"/>
    <n v="72"/>
    <n v="72"/>
    <n v="1"/>
    <x v="1"/>
    <n v="94546.05"/>
    <n v="6807315.6000000006"/>
    <s v="None"/>
  </r>
  <r>
    <s v="FL2234"/>
    <x v="2"/>
    <x v="0"/>
    <s v="Jeddah"/>
    <s v="Karachi-Jeddah"/>
    <d v="2025-11-07T12:45:00"/>
    <n v="38"/>
    <x v="1"/>
    <n v="72"/>
    <n v="72"/>
    <n v="1"/>
    <x v="1"/>
    <n v="118088.35"/>
    <n v="8502361.2000000011"/>
    <s v="Crew"/>
  </r>
  <r>
    <s v="FL2235"/>
    <x v="0"/>
    <x v="1"/>
    <s v="London"/>
    <s v="Lahore-London"/>
    <d v="2026-01-19T10:00:00"/>
    <n v="0"/>
    <x v="3"/>
    <n v="186"/>
    <n v="95"/>
    <n v="0.510752688172043"/>
    <x v="0"/>
    <n v="9115.77"/>
    <n v="865998.15"/>
    <s v="None"/>
  </r>
  <r>
    <s v="FL2236"/>
    <x v="0"/>
    <x v="0"/>
    <s v="Islamabad"/>
    <s v="Karachi-Islamabad"/>
    <d v="2026-01-20T20:45:00"/>
    <n v="0"/>
    <x v="3"/>
    <n v="186"/>
    <n v="112"/>
    <n v="0.60215053763440862"/>
    <x v="0"/>
    <n v="48086.58"/>
    <n v="5385696.96"/>
    <s v="None"/>
  </r>
  <r>
    <s v="FL2237"/>
    <x v="1"/>
    <x v="0"/>
    <s v="Islamabad"/>
    <s v="Karachi-Islamabad"/>
    <d v="2025-12-01T19:15:00"/>
    <n v="37"/>
    <x v="0"/>
    <n v="180"/>
    <n v="104"/>
    <n v="0.57777777777777772"/>
    <x v="1"/>
    <n v="69122.570000000007"/>
    <n v="7188747.2800000012"/>
    <s v="Crew"/>
  </r>
  <r>
    <s v="FL2238"/>
    <x v="2"/>
    <x v="0"/>
    <s v="Dubai"/>
    <s v="Karachi-Dubai"/>
    <d v="2025-11-16T16:15:00"/>
    <n v="7"/>
    <x v="3"/>
    <n v="186"/>
    <n v="92"/>
    <n v="0.4946236559139785"/>
    <x v="0"/>
    <n v="43108.24"/>
    <n v="3965958.0799999996"/>
    <s v="Air Traffic Control"/>
  </r>
  <r>
    <s v="FL2239"/>
    <x v="2"/>
    <x v="1"/>
    <s v="Dubai"/>
    <s v="Lahore-Dubai"/>
    <d v="2025-08-08T19:45:00"/>
    <n v="46"/>
    <x v="2"/>
    <n v="220"/>
    <n v="147"/>
    <n v="0.66818181818181821"/>
    <x v="0"/>
    <n v="28648.22"/>
    <n v="4211288.34"/>
    <s v="Air Traffic Control"/>
  </r>
  <r>
    <s v="FL2240"/>
    <x v="1"/>
    <x v="1"/>
    <s v="Islamabad"/>
    <s v="Lahore-Islamabad"/>
    <d v="2025-11-14T11:45:00"/>
    <n v="20"/>
    <x v="0"/>
    <n v="180"/>
    <n v="71"/>
    <n v="0.39444444444444443"/>
    <x v="0"/>
    <n v="11928.85"/>
    <n v="846948.35"/>
    <s v="Weather"/>
  </r>
  <r>
    <s v="FL2241"/>
    <x v="3"/>
    <x v="0"/>
    <s v="Islamabad"/>
    <s v="Karachi-Islamabad"/>
    <d v="2026-02-15T13:00:00"/>
    <n v="30"/>
    <x v="0"/>
    <n v="180"/>
    <n v="176"/>
    <n v="0.97777777777777775"/>
    <x v="0"/>
    <n v="38534.86"/>
    <n v="6782135.3600000003"/>
    <s v="Technical"/>
  </r>
  <r>
    <s v="FL2242"/>
    <x v="3"/>
    <x v="0"/>
    <s v="Dubai"/>
    <s v="Karachi-Dubai"/>
    <d v="2025-10-03T05:30:00"/>
    <n v="5"/>
    <x v="1"/>
    <n v="72"/>
    <n v="41"/>
    <n v="0.56944444444444442"/>
    <x v="1"/>
    <n v="105220.33"/>
    <n v="4314033.53"/>
    <s v="Air Traffic Control"/>
  </r>
  <r>
    <s v="FL2243"/>
    <x v="1"/>
    <x v="0"/>
    <s v="Islamabad"/>
    <s v="Karachi-Islamabad"/>
    <d v="2025-08-04T23:15:00"/>
    <n v="0"/>
    <x v="0"/>
    <n v="180"/>
    <n v="122"/>
    <n v="0.67777777777777781"/>
    <x v="1"/>
    <n v="111497.64"/>
    <n v="13602712.08"/>
    <s v="None"/>
  </r>
  <r>
    <s v="FL2244"/>
    <x v="0"/>
    <x v="2"/>
    <s v="Jeddah"/>
    <s v="Islamabad-Jeddah"/>
    <d v="2025-11-25T10:30:00"/>
    <n v="17"/>
    <x v="1"/>
    <n v="72"/>
    <n v="65"/>
    <n v="0.90277777777777779"/>
    <x v="0"/>
    <n v="47576.66"/>
    <n v="3092482.9000000004"/>
    <s v="Crew"/>
  </r>
  <r>
    <s v="FL2245"/>
    <x v="1"/>
    <x v="0"/>
    <s v="Islamabad"/>
    <s v="Karachi-Islamabad"/>
    <d v="2025-10-07T20:45:00"/>
    <n v="0"/>
    <x v="0"/>
    <n v="180"/>
    <n v="79"/>
    <n v="0.43888888888888888"/>
    <x v="0"/>
    <n v="13398.96"/>
    <n v="1058517.8399999999"/>
    <s v="None"/>
  </r>
  <r>
    <s v="FL2246"/>
    <x v="1"/>
    <x v="2"/>
    <s v="Jeddah"/>
    <s v="Islamabad-Jeddah"/>
    <d v="2026-02-16T23:15:00"/>
    <n v="40"/>
    <x v="3"/>
    <n v="186"/>
    <n v="117"/>
    <n v="0.62903225806451613"/>
    <x v="0"/>
    <n v="24542.84"/>
    <n v="2871512.28"/>
    <s v="Air Traffic Control"/>
  </r>
  <r>
    <s v="FL2247"/>
    <x v="1"/>
    <x v="0"/>
    <s v="Dubai"/>
    <s v="Karachi-Dubai"/>
    <d v="2025-10-17T08:30:00"/>
    <n v="40"/>
    <x v="0"/>
    <n v="180"/>
    <n v="62"/>
    <n v="0.34444444444444444"/>
    <x v="1"/>
    <n v="63069.38"/>
    <n v="3910301.56"/>
    <s v="Weather"/>
  </r>
  <r>
    <s v="FL2248"/>
    <x v="2"/>
    <x v="0"/>
    <s v="Jeddah"/>
    <s v="Karachi-Jeddah"/>
    <d v="2025-10-02T21:45:00"/>
    <n v="20"/>
    <x v="2"/>
    <n v="220"/>
    <n v="108"/>
    <n v="0.49090909090909091"/>
    <x v="0"/>
    <n v="11756.12"/>
    <n v="1269660.9600000002"/>
    <s v="Crew"/>
  </r>
  <r>
    <s v="FL2249"/>
    <x v="1"/>
    <x v="0"/>
    <s v="Dubai"/>
    <s v="Karachi-Dubai"/>
    <d v="2026-01-23T11:15:00"/>
    <n v="5"/>
    <x v="2"/>
    <n v="220"/>
    <n v="100"/>
    <n v="0.45454545454545453"/>
    <x v="0"/>
    <n v="9702.65"/>
    <n v="970265"/>
    <s v="Crew"/>
  </r>
  <r>
    <s v="FL2250"/>
    <x v="3"/>
    <x v="0"/>
    <s v="Jeddah"/>
    <s v="Karachi-Jeddah"/>
    <d v="2026-01-06T13:30:00"/>
    <n v="14"/>
    <x v="0"/>
    <n v="180"/>
    <n v="144"/>
    <n v="0.8"/>
    <x v="1"/>
    <n v="93555.79"/>
    <n v="13472033.76"/>
    <s v="Crew"/>
  </r>
  <r>
    <s v="FL2251"/>
    <x v="2"/>
    <x v="1"/>
    <s v="Islamabad"/>
    <s v="Lahore-Islamabad"/>
    <d v="2025-07-06T06:15:00"/>
    <n v="14"/>
    <x v="2"/>
    <n v="220"/>
    <n v="102"/>
    <n v="0.46363636363636362"/>
    <x v="0"/>
    <n v="40540.92"/>
    <n v="4135173.84"/>
    <s v="Crew"/>
  </r>
  <r>
    <s v="FL2252"/>
    <x v="0"/>
    <x v="0"/>
    <s v="Dubai"/>
    <s v="Karachi-Dubai"/>
    <d v="2025-12-24T20:15:00"/>
    <n v="0"/>
    <x v="3"/>
    <n v="186"/>
    <n v="168"/>
    <n v="0.90322580645161288"/>
    <x v="1"/>
    <n v="143973.4"/>
    <n v="24187531.199999999"/>
    <s v="None"/>
  </r>
  <r>
    <s v="FL2253"/>
    <x v="3"/>
    <x v="0"/>
    <s v="Lahore"/>
    <s v="Karachi-Lahore"/>
    <d v="2025-08-23T05:45:00"/>
    <n v="0"/>
    <x v="2"/>
    <n v="220"/>
    <n v="86"/>
    <n v="0.39090909090909093"/>
    <x v="0"/>
    <n v="49424.14"/>
    <n v="4250476.04"/>
    <s v="None"/>
  </r>
  <r>
    <s v="FL2254"/>
    <x v="0"/>
    <x v="1"/>
    <s v="Dubai"/>
    <s v="Lahore-Dubai"/>
    <d v="2025-11-03T11:45:00"/>
    <n v="1"/>
    <x v="1"/>
    <n v="72"/>
    <n v="57"/>
    <n v="0.79166666666666663"/>
    <x v="0"/>
    <n v="20184.810000000001"/>
    <n v="1150534.1700000002"/>
    <s v="Air Traffic Control"/>
  </r>
  <r>
    <s v="FL2255"/>
    <x v="3"/>
    <x v="1"/>
    <s v="Islamabad"/>
    <s v="Lahore-Islamabad"/>
    <d v="2026-04-02T06:30:00"/>
    <n v="29"/>
    <x v="2"/>
    <n v="220"/>
    <n v="120"/>
    <n v="0.54545454545454541"/>
    <x v="1"/>
    <n v="124911.53"/>
    <n v="14989383.6"/>
    <s v="Crew"/>
  </r>
  <r>
    <s v="FL2256"/>
    <x v="0"/>
    <x v="0"/>
    <s v="Islamabad"/>
    <s v="Karachi-Islamabad"/>
    <d v="2026-01-13T18:00:00"/>
    <n v="0"/>
    <x v="3"/>
    <n v="186"/>
    <n v="139"/>
    <n v="0.74731182795698925"/>
    <x v="0"/>
    <n v="41590.769999999997"/>
    <n v="5781117.0299999993"/>
    <s v="None"/>
  </r>
  <r>
    <s v="FL2257"/>
    <x v="3"/>
    <x v="0"/>
    <s v="Dubai"/>
    <s v="Karachi-Dubai"/>
    <d v="2025-10-16T12:30:00"/>
    <n v="7"/>
    <x v="1"/>
    <n v="72"/>
    <n v="55"/>
    <n v="0.76388888888888884"/>
    <x v="1"/>
    <n v="48647.19"/>
    <n v="2675595.4500000002"/>
    <s v="Technical"/>
  </r>
  <r>
    <s v="FL2258"/>
    <x v="3"/>
    <x v="2"/>
    <s v="Jeddah"/>
    <s v="Islamabad-Jeddah"/>
    <d v="2025-10-30T23:30:00"/>
    <n v="17"/>
    <x v="2"/>
    <n v="220"/>
    <n v="135"/>
    <n v="0.61363636363636365"/>
    <x v="1"/>
    <n v="59059.75"/>
    <n v="7973066.25"/>
    <s v="Crew"/>
  </r>
  <r>
    <s v="FL2259"/>
    <x v="2"/>
    <x v="0"/>
    <s v="Jeddah"/>
    <s v="Karachi-Jeddah"/>
    <d v="2026-04-05T19:00:00"/>
    <n v="0"/>
    <x v="2"/>
    <n v="220"/>
    <n v="218"/>
    <n v="0.99090909090909096"/>
    <x v="1"/>
    <n v="129820.4"/>
    <n v="28300847.199999999"/>
    <s v="None"/>
  </r>
  <r>
    <s v="FL2260"/>
    <x v="2"/>
    <x v="0"/>
    <s v="Islamabad"/>
    <s v="Karachi-Islamabad"/>
    <d v="2025-10-15T20:30:00"/>
    <n v="7"/>
    <x v="2"/>
    <n v="220"/>
    <n v="142"/>
    <n v="0.6454545454545455"/>
    <x v="1"/>
    <n v="70161.33"/>
    <n v="9962908.8599999994"/>
    <s v="Crew"/>
  </r>
  <r>
    <s v="FL2261"/>
    <x v="2"/>
    <x v="0"/>
    <s v="Dubai"/>
    <s v="Karachi-Dubai"/>
    <d v="2026-01-28T07:00:00"/>
    <n v="0"/>
    <x v="3"/>
    <n v="186"/>
    <n v="150"/>
    <n v="0.80645161290322576"/>
    <x v="1"/>
    <n v="86595.02"/>
    <n v="12989253"/>
    <s v="None"/>
  </r>
  <r>
    <s v="FL2262"/>
    <x v="2"/>
    <x v="1"/>
    <s v="Islamabad"/>
    <s v="Lahore-Islamabad"/>
    <d v="2026-04-02T23:30:00"/>
    <n v="54"/>
    <x v="0"/>
    <n v="180"/>
    <n v="129"/>
    <n v="0.71666666666666667"/>
    <x v="0"/>
    <n v="36351.14"/>
    <n v="4689297.0599999996"/>
    <s v="Crew"/>
  </r>
  <r>
    <s v="FL2263"/>
    <x v="3"/>
    <x v="0"/>
    <s v="Islamabad"/>
    <s v="Karachi-Islamabad"/>
    <d v="2025-12-22T11:00:00"/>
    <n v="48"/>
    <x v="0"/>
    <n v="180"/>
    <n v="167"/>
    <n v="0.92777777777777781"/>
    <x v="0"/>
    <n v="36900.82"/>
    <n v="6162436.9400000004"/>
    <s v="Crew"/>
  </r>
  <r>
    <s v="FL2264"/>
    <x v="3"/>
    <x v="0"/>
    <s v="Jeddah"/>
    <s v="Karachi-Jeddah"/>
    <d v="2026-02-08T19:30:00"/>
    <n v="13"/>
    <x v="2"/>
    <n v="220"/>
    <n v="129"/>
    <n v="0.58636363636363631"/>
    <x v="0"/>
    <n v="46126.01"/>
    <n v="5950255.29"/>
    <s v="Air Traffic Control"/>
  </r>
  <r>
    <s v="FL2265"/>
    <x v="1"/>
    <x v="2"/>
    <s v="Jeddah"/>
    <s v="Islamabad-Jeddah"/>
    <d v="2025-11-09T22:45:00"/>
    <n v="0"/>
    <x v="3"/>
    <n v="186"/>
    <n v="136"/>
    <n v="0.73118279569892475"/>
    <x v="1"/>
    <n v="126231.25"/>
    <n v="17167450"/>
    <s v="None"/>
  </r>
  <r>
    <s v="FL2266"/>
    <x v="2"/>
    <x v="1"/>
    <s v="Islamabad"/>
    <s v="Lahore-Islamabad"/>
    <d v="2026-01-28T10:00:00"/>
    <n v="0"/>
    <x v="1"/>
    <n v="72"/>
    <n v="45"/>
    <n v="0.625"/>
    <x v="1"/>
    <n v="89097.94"/>
    <n v="4009407.3000000003"/>
    <s v="None"/>
  </r>
  <r>
    <s v="FL2267"/>
    <x v="3"/>
    <x v="1"/>
    <s v="Islamabad"/>
    <s v="Lahore-Islamabad"/>
    <d v="2026-02-24T17:30:00"/>
    <n v="32"/>
    <x v="3"/>
    <n v="186"/>
    <n v="98"/>
    <n v="0.5268817204301075"/>
    <x v="1"/>
    <n v="135895.42000000001"/>
    <n v="13317751.160000002"/>
    <s v="Technical"/>
  </r>
  <r>
    <s v="FL2268"/>
    <x v="0"/>
    <x v="0"/>
    <s v="Islamabad"/>
    <s v="Karachi-Islamabad"/>
    <d v="2025-09-08T14:15:00"/>
    <n v="4"/>
    <x v="2"/>
    <n v="220"/>
    <n v="169"/>
    <n v="0.76818181818181819"/>
    <x v="1"/>
    <n v="110070.71"/>
    <n v="18601949.990000002"/>
    <s v="Weather"/>
  </r>
  <r>
    <s v="FL2269"/>
    <x v="3"/>
    <x v="0"/>
    <s v="Lahore"/>
    <s v="Karachi-Lahore"/>
    <d v="2026-05-25T08:15:00"/>
    <n v="0"/>
    <x v="0"/>
    <n v="180"/>
    <n v="147"/>
    <n v="0.81666666666666665"/>
    <x v="1"/>
    <n v="87806.99"/>
    <n v="12907627.530000001"/>
    <s v="None"/>
  </r>
  <r>
    <s v="FL2270"/>
    <x v="3"/>
    <x v="0"/>
    <s v="Islamabad"/>
    <s v="Karachi-Islamabad"/>
    <d v="2026-04-02T18:00:00"/>
    <n v="2"/>
    <x v="0"/>
    <n v="180"/>
    <n v="128"/>
    <n v="0.71111111111111114"/>
    <x v="0"/>
    <n v="42778.1"/>
    <n v="5475596.7999999998"/>
    <s v="Air Traffic Control"/>
  </r>
  <r>
    <s v="FL2271"/>
    <x v="2"/>
    <x v="2"/>
    <s v="Jeddah"/>
    <s v="Islamabad-Jeddah"/>
    <d v="2026-01-05T07:15:00"/>
    <n v="18"/>
    <x v="2"/>
    <n v="220"/>
    <n v="82"/>
    <n v="0.37272727272727274"/>
    <x v="0"/>
    <n v="43200.41"/>
    <n v="3542433.62"/>
    <s v="Technical"/>
  </r>
  <r>
    <s v="FL2272"/>
    <x v="2"/>
    <x v="1"/>
    <s v="London"/>
    <s v="Lahore-London"/>
    <d v="2025-07-21T11:00:00"/>
    <n v="15"/>
    <x v="1"/>
    <n v="72"/>
    <n v="28"/>
    <n v="0.3888888888888889"/>
    <x v="0"/>
    <n v="26034.93"/>
    <n v="728978.04"/>
    <s v="Air Traffic Control"/>
  </r>
  <r>
    <s v="FL2273"/>
    <x v="3"/>
    <x v="0"/>
    <s v="Jeddah"/>
    <s v="Karachi-Jeddah"/>
    <d v="2025-08-25T19:30:00"/>
    <n v="12"/>
    <x v="1"/>
    <n v="72"/>
    <n v="47"/>
    <n v="0.65277777777777779"/>
    <x v="1"/>
    <n v="54420.31"/>
    <n v="2557754.5699999998"/>
    <s v="Crew"/>
  </r>
  <r>
    <s v="FL2274"/>
    <x v="3"/>
    <x v="1"/>
    <s v="London"/>
    <s v="Lahore-London"/>
    <d v="2025-07-26T07:15:00"/>
    <n v="15"/>
    <x v="1"/>
    <n v="72"/>
    <n v="64"/>
    <n v="0.88888888888888884"/>
    <x v="0"/>
    <n v="10848.6"/>
    <n v="694310.40000000002"/>
    <s v="Weather"/>
  </r>
  <r>
    <s v="FL2275"/>
    <x v="3"/>
    <x v="1"/>
    <s v="Islamabad"/>
    <s v="Lahore-Islamabad"/>
    <d v="2026-04-12T17:00:00"/>
    <n v="8"/>
    <x v="1"/>
    <n v="72"/>
    <n v="40"/>
    <n v="0.55555555555555558"/>
    <x v="1"/>
    <n v="106742.75"/>
    <n v="4269710"/>
    <s v="Crew"/>
  </r>
  <r>
    <s v="FL2276"/>
    <x v="2"/>
    <x v="0"/>
    <s v="Dubai"/>
    <s v="Karachi-Dubai"/>
    <d v="2026-04-01T19:15:00"/>
    <n v="29"/>
    <x v="0"/>
    <n v="180"/>
    <n v="164"/>
    <n v="0.91111111111111109"/>
    <x v="1"/>
    <n v="56508.75"/>
    <n v="9267435"/>
    <s v="Technical"/>
  </r>
  <r>
    <s v="FL2277"/>
    <x v="0"/>
    <x v="0"/>
    <s v="Islamabad"/>
    <s v="Karachi-Islamabad"/>
    <d v="2026-01-14T22:15:00"/>
    <n v="0"/>
    <x v="0"/>
    <n v="180"/>
    <n v="176"/>
    <n v="0.97777777777777775"/>
    <x v="1"/>
    <n v="149027.54999999999"/>
    <n v="26228848.799999997"/>
    <s v="None"/>
  </r>
  <r>
    <s v="FL2278"/>
    <x v="1"/>
    <x v="0"/>
    <s v="Dubai"/>
    <s v="Karachi-Dubai"/>
    <d v="2026-03-14T04:00:00"/>
    <n v="25"/>
    <x v="0"/>
    <n v="180"/>
    <n v="112"/>
    <n v="0.62222222222222223"/>
    <x v="0"/>
    <n v="9285.6200000000008"/>
    <n v="1039989.4400000001"/>
    <s v="Crew"/>
  </r>
  <r>
    <s v="FL2279"/>
    <x v="3"/>
    <x v="1"/>
    <s v="Islamabad"/>
    <s v="Lahore-Islamabad"/>
    <d v="2025-11-16T10:15:00"/>
    <n v="77"/>
    <x v="1"/>
    <n v="72"/>
    <n v="28"/>
    <n v="0.3888888888888889"/>
    <x v="1"/>
    <n v="107573"/>
    <n v="3012044"/>
    <s v="Air Traffic Contro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A96B34-FE29-433B-BEE7-7A3B0E6D77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9" firstHeaderRow="1" firstDataRow="1" firstDataCol="1"/>
  <pivotFields count="15">
    <pivotField dataField="1"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pivotField showAll="0"/>
    <pivotField showAll="0"/>
    <pivotField numFmtId="2" showAll="0"/>
    <pivotField showAll="0"/>
    <pivotField numFmtId="4" showAll="0"/>
    <pivotField numFmtId="44" showAll="0"/>
    <pivotField showAll="0"/>
  </pivotFields>
  <rowFields count="1">
    <field x="1"/>
  </rowFields>
  <rowItems count="5">
    <i>
      <x/>
    </i>
    <i>
      <x v="1"/>
    </i>
    <i>
      <x v="3"/>
    </i>
    <i>
      <x v="2"/>
    </i>
    <i t="grand">
      <x/>
    </i>
  </rowItems>
  <colItems count="1">
    <i/>
  </colItems>
  <dataFields count="1">
    <dataField name="Count of Fligh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FE2CF6-4931-4009-AAF4-559EF0AE5A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1" firstDataRow="2" firstDataCol="1"/>
  <pivotFields count="15">
    <pivotField showAll="0"/>
    <pivotField axis="axisRow" showAll="0">
      <items count="5">
        <item x="1"/>
        <item x="0"/>
        <item x="3"/>
        <item x="2"/>
        <item t="default"/>
      </items>
    </pivotField>
    <pivotField showAll="0">
      <items count="4">
        <item h="1" x="2"/>
        <item h="1" x="0"/>
        <item x="1"/>
        <item t="default"/>
      </items>
    </pivotField>
    <pivotField showAll="0"/>
    <pivotField showAll="0"/>
    <pivotField numFmtId="164" showAll="0"/>
    <pivotField showAll="0"/>
    <pivotField showAll="0"/>
    <pivotField showAll="0"/>
    <pivotField showAll="0"/>
    <pivotField numFmtId="2" showAll="0"/>
    <pivotField axis="axisCol" showAll="0">
      <items count="3">
        <item x="1"/>
        <item x="0"/>
        <item t="default"/>
      </items>
    </pivotField>
    <pivotField numFmtId="4" showAll="0"/>
    <pivotField dataField="1" numFmtId="44" showAll="0"/>
    <pivotField showAll="0"/>
  </pivotFields>
  <rowFields count="1">
    <field x="1"/>
  </rowFields>
  <rowItems count="5">
    <i>
      <x/>
    </i>
    <i>
      <x v="1"/>
    </i>
    <i>
      <x v="2"/>
    </i>
    <i>
      <x v="3"/>
    </i>
    <i t="grand">
      <x/>
    </i>
  </rowItems>
  <colFields count="1">
    <field x="11"/>
  </colFields>
  <colItems count="3">
    <i>
      <x/>
    </i>
    <i>
      <x v="1"/>
    </i>
    <i t="grand">
      <x/>
    </i>
  </colItems>
  <dataFields count="1">
    <dataField name="Sum of Column1"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AEF327-1DAF-4592-9EA8-AC5FAFFF879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irlines" colHeaderCaption="Aircraft Tpye">
  <location ref="A4:F10" firstHeaderRow="1" firstDataRow="2" firstDataCol="1"/>
  <pivotFields count="15">
    <pivotField dataField="1" showAll="0"/>
    <pivotField axis="axisRow" showAll="0">
      <items count="5">
        <item x="1"/>
        <item x="0"/>
        <item x="3"/>
        <item x="2"/>
        <item t="default"/>
      </items>
    </pivotField>
    <pivotField showAll="0"/>
    <pivotField showAll="0"/>
    <pivotField showAll="0"/>
    <pivotField numFmtId="164" showAll="0"/>
    <pivotField showAll="0"/>
    <pivotField axis="axisCol" showAll="0">
      <items count="5">
        <item x="3"/>
        <item x="2"/>
        <item x="1"/>
        <item x="0"/>
        <item t="default"/>
      </items>
    </pivotField>
    <pivotField showAll="0"/>
    <pivotField showAll="0"/>
    <pivotField numFmtId="2" showAll="0"/>
    <pivotField showAll="0"/>
    <pivotField numFmtId="4" showAll="0"/>
    <pivotField numFmtId="44" showAll="0"/>
    <pivotField showAll="0"/>
  </pivotFields>
  <rowFields count="1">
    <field x="1"/>
  </rowFields>
  <rowItems count="5">
    <i>
      <x/>
    </i>
    <i>
      <x v="1"/>
    </i>
    <i>
      <x v="2"/>
    </i>
    <i>
      <x v="3"/>
    </i>
    <i t="grand">
      <x/>
    </i>
  </rowItems>
  <colFields count="1">
    <field x="7"/>
  </colFields>
  <colItems count="5">
    <i>
      <x/>
    </i>
    <i>
      <x v="1"/>
    </i>
    <i>
      <x v="2"/>
    </i>
    <i>
      <x v="3"/>
    </i>
    <i t="grand">
      <x/>
    </i>
  </colItems>
  <dataFields count="1">
    <dataField name="Count of FlightID" fld="0" subtotal="count" baseField="0" baseItem="0"/>
  </dataFields>
  <conditionalFormats count="1">
    <conditionalFormat priority="1">
      <pivotAreas count="1">
        <pivotArea type="data" collapsedLevelsAreSubtotals="1" fieldPosition="0">
          <references count="3">
            <reference field="4294967294" count="1" selected="0">
              <x v="0"/>
            </reference>
            <reference field="1" count="4">
              <x v="0"/>
              <x v="1"/>
              <x v="2"/>
              <x v="3"/>
            </reference>
            <reference field="7" count="4" selected="0">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 xr10:uid="{DBBEB1DD-69F1-42D9-ACC7-34CA78856189}" sourceName="Origin">
  <pivotTables>
    <pivotTable tabId="6" name="PivotTable2"/>
  </pivotTables>
  <data>
    <tabular pivotCacheId="1191433826">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in" xr10:uid="{5D25D061-EAC7-4D39-88F9-15C7509F247E}" cache="Slicer_Origin" caption="Origi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lightOps" displayName="FlightOps" ref="A2:P282" totalsRowShown="0" headerRowDxfId="6">
  <autoFilter ref="A2:P282" xr:uid="{00000000-0009-0000-0100-000001000000}"/>
  <tableColumns count="16">
    <tableColumn id="1" xr3:uid="{00000000-0010-0000-0000-000001000000}" name="FlightID"/>
    <tableColumn id="2" xr3:uid="{00000000-0010-0000-0000-000002000000}" name="Airline"/>
    <tableColumn id="3" xr3:uid="{00000000-0010-0000-0000-000003000000}" name="Origin"/>
    <tableColumn id="4" xr3:uid="{00000000-0010-0000-0000-000004000000}" name="Destination"/>
    <tableColumn id="13" xr3:uid="{980CEE60-52C8-412C-B7EC-42893886E246}" name="Route" dataDxfId="5">
      <calculatedColumnFormula>FlightOps[[#This Row],[Origin]]&amp;"-"&amp;FlightOps[[#This Row],[Destination]]</calculatedColumnFormula>
    </tableColumn>
    <tableColumn id="5" xr3:uid="{00000000-0010-0000-0000-000005000000}" name="ScheduledDeparture"/>
    <tableColumn id="17" xr3:uid="{EE44BF47-015D-497B-B21C-B397B7839C8D}" name="DepartureHour" dataDxfId="4">
      <calculatedColumnFormula>HOUR(FlightOps[[#This Row],[ScheduledDeparture]])</calculatedColumnFormula>
    </tableColumn>
    <tableColumn id="6" xr3:uid="{00000000-0010-0000-0000-000006000000}" name="DelayMinutes" dataDxfId="3"/>
    <tableColumn id="7" xr3:uid="{00000000-0010-0000-0000-000007000000}" name="AircraftType"/>
    <tableColumn id="8" xr3:uid="{00000000-0010-0000-0000-000008000000}" name="SeatsAvailable"/>
    <tableColumn id="9" xr3:uid="{00000000-0010-0000-0000-000009000000}" name="SeatsSold"/>
    <tableColumn id="15" xr3:uid="{8849BD74-4DAB-4284-B80C-345EEC06EDA3}" name="LoadFactor" dataDxfId="2">
      <calculatedColumnFormula>FlightOps[[#This Row],[SeatsSold]]/FlightOps[[#This Row],[SeatsAvailable]]</calculatedColumnFormula>
    </tableColumn>
    <tableColumn id="10" xr3:uid="{00000000-0010-0000-0000-00000A000000}" name="Class"/>
    <tableColumn id="11" xr3:uid="{00000000-0010-0000-0000-00000B000000}" name="AvgTicketPrice"/>
    <tableColumn id="16" xr3:uid="{72B8CF51-82C8-4B1E-9758-F5141EB9544A}" name="Revenue" dataDxfId="1">
      <calculatedColumnFormula>FlightOps[[#This Row],[SeatsSold]]*FlightOps[[#This Row],[AvgTicketPrice]]</calculatedColumnFormula>
    </tableColumn>
    <tableColumn id="12" xr3:uid="{00000000-0010-0000-0000-00000C000000}" name="DelayReas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BB4B6E-0600-42D0-B107-C02EFF9DF920}" name="Table2" displayName="Table2" ref="B4:C24" totalsRowShown="0">
  <autoFilter ref="B4:C24" xr:uid="{B0BB4B6E-0600-42D0-B107-C02EFF9DF920}"/>
  <tableColumns count="2">
    <tableColumn id="1" xr3:uid="{E87513AF-2D30-4BEC-974C-4D5CEE9129F5}" name="Hours"/>
    <tableColumn id="2" xr3:uid="{4B3E804E-4209-44D4-ACC0-A3B3692B784B}" name="Flight Count" dataDxfId="0">
      <calculatedColumnFormula>COUNTIFS(FlightOps[DepartureHour],Table2[[#This Row],[Hours]])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53"/>
  <sheetViews>
    <sheetView topLeftCell="A40" zoomScaleNormal="100" workbookViewId="0">
      <selection activeCell="B51" sqref="B51:B52"/>
    </sheetView>
  </sheetViews>
  <sheetFormatPr defaultColWidth="8.7109375" defaultRowHeight="15" x14ac:dyDescent="0.25"/>
  <cols>
    <col min="1" max="1" width="4" customWidth="1"/>
    <col min="2" max="2" width="95" customWidth="1"/>
  </cols>
  <sheetData>
    <row r="1" spans="2:2" ht="18" x14ac:dyDescent="0.25">
      <c r="B1" s="5" t="s">
        <v>313</v>
      </c>
    </row>
    <row r="3" spans="2:2" x14ac:dyDescent="0.25">
      <c r="B3" s="6" t="s">
        <v>314</v>
      </c>
    </row>
    <row r="4" spans="2:2" x14ac:dyDescent="0.25">
      <c r="B4" s="6" t="s">
        <v>315</v>
      </c>
    </row>
    <row r="5" spans="2:2" x14ac:dyDescent="0.25">
      <c r="B5" s="6" t="s">
        <v>316</v>
      </c>
    </row>
    <row r="6" spans="2:2" x14ac:dyDescent="0.25">
      <c r="B6" s="6" t="s">
        <v>317</v>
      </c>
    </row>
    <row r="8" spans="2:2" x14ac:dyDescent="0.25">
      <c r="B8" s="7" t="s">
        <v>318</v>
      </c>
    </row>
    <row r="9" spans="2:2" x14ac:dyDescent="0.25">
      <c r="B9" s="6" t="s">
        <v>319</v>
      </c>
    </row>
    <row r="10" spans="2:2" x14ac:dyDescent="0.25">
      <c r="B10" s="6" t="s">
        <v>320</v>
      </c>
    </row>
    <row r="11" spans="2:2" x14ac:dyDescent="0.25">
      <c r="B11" s="6" t="s">
        <v>321</v>
      </c>
    </row>
    <row r="12" spans="2:2" x14ac:dyDescent="0.25">
      <c r="B12" s="6" t="s">
        <v>322</v>
      </c>
    </row>
    <row r="13" spans="2:2" x14ac:dyDescent="0.25">
      <c r="B13" s="6" t="s">
        <v>323</v>
      </c>
    </row>
    <row r="14" spans="2:2" x14ac:dyDescent="0.25">
      <c r="B14" s="6" t="s">
        <v>324</v>
      </c>
    </row>
    <row r="15" spans="2:2" x14ac:dyDescent="0.25">
      <c r="B15" s="6" t="s">
        <v>325</v>
      </c>
    </row>
    <row r="16" spans="2:2" x14ac:dyDescent="0.25">
      <c r="B16" s="6" t="s">
        <v>326</v>
      </c>
    </row>
    <row r="17" spans="2:2" x14ac:dyDescent="0.25">
      <c r="B17" s="6" t="s">
        <v>327</v>
      </c>
    </row>
    <row r="18" spans="2:2" x14ac:dyDescent="0.25">
      <c r="B18" s="6" t="s">
        <v>328</v>
      </c>
    </row>
    <row r="19" spans="2:2" x14ac:dyDescent="0.25">
      <c r="B19" s="6" t="s">
        <v>329</v>
      </c>
    </row>
    <row r="20" spans="2:2" x14ac:dyDescent="0.25">
      <c r="B20" s="6" t="s">
        <v>330</v>
      </c>
    </row>
    <row r="22" spans="2:2" x14ac:dyDescent="0.25">
      <c r="B22" s="7" t="s">
        <v>331</v>
      </c>
    </row>
    <row r="23" spans="2:2" x14ac:dyDescent="0.25">
      <c r="B23" s="8" t="s">
        <v>332</v>
      </c>
    </row>
    <row r="24" spans="2:2" ht="30" x14ac:dyDescent="0.25">
      <c r="B24" s="6" t="s">
        <v>333</v>
      </c>
    </row>
    <row r="25" spans="2:2" ht="24" x14ac:dyDescent="0.25">
      <c r="B25" s="9" t="s">
        <v>334</v>
      </c>
    </row>
    <row r="27" spans="2:2" x14ac:dyDescent="0.25">
      <c r="B27" s="8" t="s">
        <v>335</v>
      </c>
    </row>
    <row r="28" spans="2:2" ht="30" x14ac:dyDescent="0.25">
      <c r="B28" s="6" t="s">
        <v>336</v>
      </c>
    </row>
    <row r="29" spans="2:2" x14ac:dyDescent="0.25">
      <c r="B29" s="9" t="s">
        <v>337</v>
      </c>
    </row>
    <row r="31" spans="2:2" x14ac:dyDescent="0.25">
      <c r="B31" s="8" t="s">
        <v>338</v>
      </c>
    </row>
    <row r="32" spans="2:2" ht="30" x14ac:dyDescent="0.25">
      <c r="B32" s="6" t="s">
        <v>339</v>
      </c>
    </row>
    <row r="33" spans="2:2" x14ac:dyDescent="0.25">
      <c r="B33" s="9" t="s">
        <v>340</v>
      </c>
    </row>
    <row r="35" spans="2:2" x14ac:dyDescent="0.25">
      <c r="B35" s="8" t="s">
        <v>341</v>
      </c>
    </row>
    <row r="36" spans="2:2" ht="30" x14ac:dyDescent="0.25">
      <c r="B36" s="6" t="s">
        <v>342</v>
      </c>
    </row>
    <row r="37" spans="2:2" x14ac:dyDescent="0.25">
      <c r="B37" s="9" t="s">
        <v>343</v>
      </c>
    </row>
    <row r="39" spans="2:2" x14ac:dyDescent="0.25">
      <c r="B39" s="8" t="s">
        <v>344</v>
      </c>
    </row>
    <row r="40" spans="2:2" ht="45" x14ac:dyDescent="0.25">
      <c r="B40" s="6" t="s">
        <v>345</v>
      </c>
    </row>
    <row r="41" spans="2:2" x14ac:dyDescent="0.25">
      <c r="B41" s="9" t="s">
        <v>346</v>
      </c>
    </row>
    <row r="43" spans="2:2" x14ac:dyDescent="0.25">
      <c r="B43" s="8" t="s">
        <v>347</v>
      </c>
    </row>
    <row r="44" spans="2:2" ht="30" x14ac:dyDescent="0.25">
      <c r="B44" s="6" t="s">
        <v>348</v>
      </c>
    </row>
    <row r="45" spans="2:2" x14ac:dyDescent="0.25">
      <c r="B45" s="9" t="s">
        <v>349</v>
      </c>
    </row>
    <row r="47" spans="2:2" x14ac:dyDescent="0.25">
      <c r="B47" s="8" t="s">
        <v>350</v>
      </c>
    </row>
    <row r="48" spans="2:2" ht="30" x14ac:dyDescent="0.25">
      <c r="B48" s="6" t="s">
        <v>351</v>
      </c>
    </row>
    <row r="49" spans="2:2" x14ac:dyDescent="0.25">
      <c r="B49" s="9" t="s">
        <v>352</v>
      </c>
    </row>
    <row r="51" spans="2:2" x14ac:dyDescent="0.25">
      <c r="B51" s="8" t="s">
        <v>353</v>
      </c>
    </row>
    <row r="52" spans="2:2" ht="45" x14ac:dyDescent="0.25">
      <c r="B52" s="6" t="s">
        <v>354</v>
      </c>
    </row>
    <row r="53" spans="2:2" x14ac:dyDescent="0.25">
      <c r="B53" s="9" t="s">
        <v>355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2"/>
  <sheetViews>
    <sheetView zoomScaleNormal="100" workbookViewId="0">
      <pane ySplit="2" topLeftCell="A3" activePane="bottomLeft" state="frozen"/>
      <selection pane="bottomLeft" activeCell="A3" sqref="A3"/>
    </sheetView>
  </sheetViews>
  <sheetFormatPr defaultColWidth="12.7109375" defaultRowHeight="15" x14ac:dyDescent="0.25"/>
  <cols>
    <col min="1" max="1" width="13.42578125" bestFit="1" customWidth="1"/>
    <col min="2" max="2" width="12" bestFit="1" customWidth="1"/>
    <col min="3" max="3" width="11.85546875" bestFit="1" customWidth="1"/>
    <col min="4" max="4" width="17.140625" bestFit="1" customWidth="1"/>
    <col min="5" max="5" width="17.42578125" bestFit="1" customWidth="1"/>
    <col min="6" max="6" width="27.140625" bestFit="1" customWidth="1"/>
    <col min="7" max="7" width="21" style="20" bestFit="1" customWidth="1"/>
    <col min="8" max="8" width="19.42578125" style="20" bestFit="1" customWidth="1"/>
    <col min="9" max="9" width="18" bestFit="1" customWidth="1"/>
    <col min="10" max="10" width="20.5703125" bestFit="1" customWidth="1"/>
    <col min="11" max="11" width="15.85546875" bestFit="1" customWidth="1"/>
    <col min="12" max="12" width="17" style="17" bestFit="1" customWidth="1"/>
    <col min="13" max="13" width="11.140625" bestFit="1" customWidth="1"/>
    <col min="14" max="14" width="21.140625" bestFit="1" customWidth="1"/>
    <col min="15" max="15" width="16.28515625" style="23" bestFit="1" customWidth="1"/>
    <col min="16" max="16" width="19" bestFit="1" customWidth="1"/>
  </cols>
  <sheetData>
    <row r="1" spans="1:16" ht="18" x14ac:dyDescent="0.25">
      <c r="A1" s="36" t="s">
        <v>0</v>
      </c>
      <c r="B1" s="36"/>
      <c r="C1" s="36"/>
      <c r="D1" s="36"/>
      <c r="E1" s="15"/>
    </row>
    <row r="2" spans="1:16" x14ac:dyDescent="0.25">
      <c r="A2" s="16" t="s">
        <v>378</v>
      </c>
      <c r="B2" s="1" t="s">
        <v>1</v>
      </c>
      <c r="C2" s="1" t="s">
        <v>2</v>
      </c>
      <c r="D2" s="1" t="s">
        <v>3</v>
      </c>
      <c r="E2" s="16" t="s">
        <v>361</v>
      </c>
      <c r="F2" s="1" t="s">
        <v>4</v>
      </c>
      <c r="G2" s="21" t="s">
        <v>368</v>
      </c>
      <c r="H2" s="25" t="s">
        <v>5</v>
      </c>
      <c r="I2" s="1" t="s">
        <v>6</v>
      </c>
      <c r="J2" s="1" t="s">
        <v>7</v>
      </c>
      <c r="K2" s="1" t="s">
        <v>8</v>
      </c>
      <c r="L2" s="18" t="s">
        <v>363</v>
      </c>
      <c r="M2" s="1" t="s">
        <v>9</v>
      </c>
      <c r="N2" s="1" t="s">
        <v>10</v>
      </c>
      <c r="O2" s="27" t="s">
        <v>369</v>
      </c>
      <c r="P2" s="1" t="s">
        <v>11</v>
      </c>
    </row>
    <row r="3" spans="1:16" x14ac:dyDescent="0.25">
      <c r="A3" s="2" t="s">
        <v>12</v>
      </c>
      <c r="B3" s="2" t="s">
        <v>13</v>
      </c>
      <c r="C3" s="2" t="s">
        <v>14</v>
      </c>
      <c r="D3" s="2" t="s">
        <v>15</v>
      </c>
      <c r="E3" s="2" t="str">
        <f>FlightOps[[#This Row],[Origin]]&amp;"-"&amp;FlightOps[[#This Row],[Destination]]</f>
        <v>Karachi-Islamabad</v>
      </c>
      <c r="F3" s="3">
        <v>46137.427083333299</v>
      </c>
      <c r="G3" s="26">
        <f>HOUR(FlightOps[[#This Row],[ScheduledDeparture]])</f>
        <v>10</v>
      </c>
      <c r="H3" s="22">
        <v>0</v>
      </c>
      <c r="I3" s="2" t="s">
        <v>16</v>
      </c>
      <c r="J3" s="2">
        <v>180</v>
      </c>
      <c r="K3" s="2">
        <v>151</v>
      </c>
      <c r="L3" s="19">
        <f>FlightOps[[#This Row],[SeatsSold]]/FlightOps[[#This Row],[SeatsAvailable]]</f>
        <v>0.83888888888888891</v>
      </c>
      <c r="M3" s="2" t="s">
        <v>17</v>
      </c>
      <c r="N3" s="4">
        <v>25023.31</v>
      </c>
      <c r="O3" s="24">
        <f>FlightOps[[#This Row],[SeatsSold]]*FlightOps[[#This Row],[AvgTicketPrice]]</f>
        <v>3778519.81</v>
      </c>
      <c r="P3" s="2" t="s">
        <v>18</v>
      </c>
    </row>
    <row r="4" spans="1:16" x14ac:dyDescent="0.25">
      <c r="A4" s="2" t="s">
        <v>19</v>
      </c>
      <c r="B4" s="2" t="s">
        <v>13</v>
      </c>
      <c r="C4" s="2" t="s">
        <v>14</v>
      </c>
      <c r="D4" s="2" t="s">
        <v>15</v>
      </c>
      <c r="E4" s="2" t="str">
        <f>FlightOps[[#This Row],[Origin]]&amp;"-"&amp;FlightOps[[#This Row],[Destination]]</f>
        <v>Karachi-Islamabad</v>
      </c>
      <c r="F4" s="3">
        <v>46063.28125</v>
      </c>
      <c r="G4" s="26">
        <f>HOUR(FlightOps[[#This Row],[ScheduledDeparture]])</f>
        <v>6</v>
      </c>
      <c r="H4" s="22">
        <v>35</v>
      </c>
      <c r="I4" s="2" t="s">
        <v>20</v>
      </c>
      <c r="J4" s="2">
        <v>72</v>
      </c>
      <c r="K4" s="2">
        <v>34</v>
      </c>
      <c r="L4" s="19">
        <f>FlightOps[[#This Row],[SeatsSold]]/FlightOps[[#This Row],[SeatsAvailable]]</f>
        <v>0.47222222222222221</v>
      </c>
      <c r="M4" s="2" t="s">
        <v>17</v>
      </c>
      <c r="N4" s="4">
        <v>19835.39</v>
      </c>
      <c r="O4" s="24">
        <f>FlightOps[[#This Row],[SeatsSold]]*FlightOps[[#This Row],[AvgTicketPrice]]</f>
        <v>674403.26</v>
      </c>
      <c r="P4" s="2" t="s">
        <v>21</v>
      </c>
    </row>
    <row r="5" spans="1:16" x14ac:dyDescent="0.25">
      <c r="A5" s="2" t="s">
        <v>22</v>
      </c>
      <c r="B5" s="2" t="s">
        <v>23</v>
      </c>
      <c r="C5" s="2" t="s">
        <v>24</v>
      </c>
      <c r="D5" s="2" t="s">
        <v>15</v>
      </c>
      <c r="E5" s="2" t="str">
        <f>FlightOps[[#This Row],[Origin]]&amp;"-"&amp;FlightOps[[#This Row],[Destination]]</f>
        <v>Lahore-Islamabad</v>
      </c>
      <c r="F5" s="3">
        <v>45994.78125</v>
      </c>
      <c r="G5" s="26">
        <f>HOUR(FlightOps[[#This Row],[ScheduledDeparture]])</f>
        <v>18</v>
      </c>
      <c r="H5" s="22">
        <v>27</v>
      </c>
      <c r="I5" s="2" t="s">
        <v>20</v>
      </c>
      <c r="J5" s="2">
        <v>72</v>
      </c>
      <c r="K5" s="2">
        <v>33</v>
      </c>
      <c r="L5" s="19">
        <f>FlightOps[[#This Row],[SeatsSold]]/FlightOps[[#This Row],[SeatsAvailable]]</f>
        <v>0.45833333333333331</v>
      </c>
      <c r="M5" s="2" t="s">
        <v>25</v>
      </c>
      <c r="N5" s="4">
        <v>97392.7</v>
      </c>
      <c r="O5" s="24">
        <f>FlightOps[[#This Row],[SeatsSold]]*FlightOps[[#This Row],[AvgTicketPrice]]</f>
        <v>3213959.1</v>
      </c>
      <c r="P5" s="2" t="s">
        <v>26</v>
      </c>
    </row>
    <row r="6" spans="1:16" x14ac:dyDescent="0.25">
      <c r="A6" s="2" t="s">
        <v>27</v>
      </c>
      <c r="B6" s="2" t="s">
        <v>23</v>
      </c>
      <c r="C6" s="2" t="s">
        <v>24</v>
      </c>
      <c r="D6" s="2" t="s">
        <v>28</v>
      </c>
      <c r="E6" s="2" t="str">
        <f>FlightOps[[#This Row],[Origin]]&amp;"-"&amp;FlightOps[[#This Row],[Destination]]</f>
        <v>Lahore-London</v>
      </c>
      <c r="F6" s="3">
        <v>46068.6875</v>
      </c>
      <c r="G6" s="26">
        <f>HOUR(FlightOps[[#This Row],[ScheduledDeparture]])</f>
        <v>16</v>
      </c>
      <c r="H6" s="22">
        <v>65</v>
      </c>
      <c r="I6" s="2" t="s">
        <v>16</v>
      </c>
      <c r="J6" s="2">
        <v>180</v>
      </c>
      <c r="K6" s="2">
        <v>118</v>
      </c>
      <c r="L6" s="19">
        <f>FlightOps[[#This Row],[SeatsSold]]/FlightOps[[#This Row],[SeatsAvailable]]</f>
        <v>0.65555555555555556</v>
      </c>
      <c r="M6" s="2" t="s">
        <v>25</v>
      </c>
      <c r="N6" s="4">
        <v>144845.07999999999</v>
      </c>
      <c r="O6" s="24">
        <f>FlightOps[[#This Row],[SeatsSold]]*FlightOps[[#This Row],[AvgTicketPrice]]</f>
        <v>17091719.439999998</v>
      </c>
      <c r="P6" s="2" t="s">
        <v>21</v>
      </c>
    </row>
    <row r="7" spans="1:16" x14ac:dyDescent="0.25">
      <c r="A7" s="2" t="s">
        <v>29</v>
      </c>
      <c r="B7" s="2" t="s">
        <v>13</v>
      </c>
      <c r="C7" s="2" t="s">
        <v>24</v>
      </c>
      <c r="D7" s="2" t="s">
        <v>30</v>
      </c>
      <c r="E7" s="2" t="str">
        <f>FlightOps[[#This Row],[Origin]]&amp;"-"&amp;FlightOps[[#This Row],[Destination]]</f>
        <v>Lahore-Dubai</v>
      </c>
      <c r="F7" s="3">
        <v>45844.760416666701</v>
      </c>
      <c r="G7" s="26">
        <f>HOUR(FlightOps[[#This Row],[ScheduledDeparture]])</f>
        <v>18</v>
      </c>
      <c r="H7" s="22">
        <v>30</v>
      </c>
      <c r="I7" s="2" t="s">
        <v>31</v>
      </c>
      <c r="J7" s="2">
        <v>220</v>
      </c>
      <c r="K7" s="2">
        <v>178</v>
      </c>
      <c r="L7" s="19">
        <f>FlightOps[[#This Row],[SeatsSold]]/FlightOps[[#This Row],[SeatsAvailable]]</f>
        <v>0.80909090909090908</v>
      </c>
      <c r="M7" s="2" t="s">
        <v>25</v>
      </c>
      <c r="N7" s="4">
        <v>119129.44</v>
      </c>
      <c r="O7" s="24">
        <f>FlightOps[[#This Row],[SeatsSold]]*FlightOps[[#This Row],[AvgTicketPrice]]</f>
        <v>21205040.32</v>
      </c>
      <c r="P7" s="2" t="s">
        <v>26</v>
      </c>
    </row>
    <row r="8" spans="1:16" x14ac:dyDescent="0.25">
      <c r="A8" s="2" t="s">
        <v>32</v>
      </c>
      <c r="B8" s="2" t="s">
        <v>33</v>
      </c>
      <c r="C8" s="2" t="s">
        <v>14</v>
      </c>
      <c r="D8" s="2" t="s">
        <v>30</v>
      </c>
      <c r="E8" s="2" t="str">
        <f>FlightOps[[#This Row],[Origin]]&amp;"-"&amp;FlightOps[[#This Row],[Destination]]</f>
        <v>Karachi-Dubai</v>
      </c>
      <c r="F8" s="3">
        <v>45872.364583333299</v>
      </c>
      <c r="G8" s="26">
        <f>HOUR(FlightOps[[#This Row],[ScheduledDeparture]])</f>
        <v>8</v>
      </c>
      <c r="H8" s="22">
        <v>0</v>
      </c>
      <c r="I8" s="2" t="s">
        <v>16</v>
      </c>
      <c r="J8" s="2">
        <v>180</v>
      </c>
      <c r="K8" s="2">
        <v>120</v>
      </c>
      <c r="L8" s="19">
        <f>FlightOps[[#This Row],[SeatsSold]]/FlightOps[[#This Row],[SeatsAvailable]]</f>
        <v>0.66666666666666663</v>
      </c>
      <c r="M8" s="2" t="s">
        <v>25</v>
      </c>
      <c r="N8" s="4">
        <v>80480.100000000006</v>
      </c>
      <c r="O8" s="24">
        <f>FlightOps[[#This Row],[SeatsSold]]*FlightOps[[#This Row],[AvgTicketPrice]]</f>
        <v>9657612</v>
      </c>
      <c r="P8" s="2" t="s">
        <v>18</v>
      </c>
    </row>
    <row r="9" spans="1:16" x14ac:dyDescent="0.25">
      <c r="A9" s="2" t="s">
        <v>34</v>
      </c>
      <c r="B9" s="2" t="s">
        <v>13</v>
      </c>
      <c r="C9" s="2" t="s">
        <v>14</v>
      </c>
      <c r="D9" s="2" t="s">
        <v>15</v>
      </c>
      <c r="E9" s="2" t="str">
        <f>FlightOps[[#This Row],[Origin]]&amp;"-"&amp;FlightOps[[#This Row],[Destination]]</f>
        <v>Karachi-Islamabad</v>
      </c>
      <c r="F9" s="3">
        <v>46045.645833333299</v>
      </c>
      <c r="G9" s="26">
        <f>HOUR(FlightOps[[#This Row],[ScheduledDeparture]])</f>
        <v>15</v>
      </c>
      <c r="H9" s="22">
        <v>0</v>
      </c>
      <c r="I9" s="2" t="s">
        <v>35</v>
      </c>
      <c r="J9" s="2">
        <v>186</v>
      </c>
      <c r="K9" s="2">
        <v>87</v>
      </c>
      <c r="L9" s="19">
        <f>FlightOps[[#This Row],[SeatsSold]]/FlightOps[[#This Row],[SeatsAvailable]]</f>
        <v>0.46774193548387094</v>
      </c>
      <c r="M9" s="2" t="s">
        <v>25</v>
      </c>
      <c r="N9" s="4">
        <v>61745.35</v>
      </c>
      <c r="O9" s="24">
        <f>FlightOps[[#This Row],[SeatsSold]]*FlightOps[[#This Row],[AvgTicketPrice]]</f>
        <v>5371845.4500000002</v>
      </c>
      <c r="P9" s="2" t="s">
        <v>18</v>
      </c>
    </row>
    <row r="10" spans="1:16" x14ac:dyDescent="0.25">
      <c r="A10" s="2" t="s">
        <v>36</v>
      </c>
      <c r="B10" s="2" t="s">
        <v>23</v>
      </c>
      <c r="C10" s="2" t="s">
        <v>14</v>
      </c>
      <c r="D10" s="2" t="s">
        <v>37</v>
      </c>
      <c r="E10" s="2" t="str">
        <f>FlightOps[[#This Row],[Origin]]&amp;"-"&amp;FlightOps[[#This Row],[Destination]]</f>
        <v>Karachi-Jeddah</v>
      </c>
      <c r="F10" s="3">
        <v>46125.96875</v>
      </c>
      <c r="G10" s="26">
        <f>HOUR(FlightOps[[#This Row],[ScheduledDeparture]])</f>
        <v>23</v>
      </c>
      <c r="H10" s="22">
        <v>40</v>
      </c>
      <c r="I10" s="2" t="s">
        <v>31</v>
      </c>
      <c r="J10" s="2">
        <v>220</v>
      </c>
      <c r="K10" s="2">
        <v>169</v>
      </c>
      <c r="L10" s="19">
        <f>FlightOps[[#This Row],[SeatsSold]]/FlightOps[[#This Row],[SeatsAvailable]]</f>
        <v>0.76818181818181819</v>
      </c>
      <c r="M10" s="2" t="s">
        <v>17</v>
      </c>
      <c r="N10" s="4">
        <v>54691.18</v>
      </c>
      <c r="O10" s="24">
        <f>FlightOps[[#This Row],[SeatsSold]]*FlightOps[[#This Row],[AvgTicketPrice]]</f>
        <v>9242809.4199999999</v>
      </c>
      <c r="P10" s="2" t="s">
        <v>26</v>
      </c>
    </row>
    <row r="11" spans="1:16" x14ac:dyDescent="0.25">
      <c r="A11" s="2" t="s">
        <v>38</v>
      </c>
      <c r="B11" s="2" t="s">
        <v>23</v>
      </c>
      <c r="C11" s="2" t="s">
        <v>24</v>
      </c>
      <c r="D11" s="2" t="s">
        <v>28</v>
      </c>
      <c r="E11" s="2" t="str">
        <f>FlightOps[[#This Row],[Origin]]&amp;"-"&amp;FlightOps[[#This Row],[Destination]]</f>
        <v>Lahore-London</v>
      </c>
      <c r="F11" s="3">
        <v>46067.552083333299</v>
      </c>
      <c r="G11" s="26">
        <f>HOUR(FlightOps[[#This Row],[ScheduledDeparture]])</f>
        <v>13</v>
      </c>
      <c r="H11" s="22">
        <v>17</v>
      </c>
      <c r="I11" s="2" t="s">
        <v>31</v>
      </c>
      <c r="J11" s="2">
        <v>220</v>
      </c>
      <c r="K11" s="2">
        <v>129</v>
      </c>
      <c r="L11" s="19">
        <f>FlightOps[[#This Row],[SeatsSold]]/FlightOps[[#This Row],[SeatsAvailable]]</f>
        <v>0.58636363636363631</v>
      </c>
      <c r="M11" s="2" t="s">
        <v>25</v>
      </c>
      <c r="N11" s="4">
        <v>142585.24</v>
      </c>
      <c r="O11" s="24">
        <f>FlightOps[[#This Row],[SeatsSold]]*FlightOps[[#This Row],[AvgTicketPrice]]</f>
        <v>18393495.959999997</v>
      </c>
      <c r="P11" s="2" t="s">
        <v>39</v>
      </c>
    </row>
    <row r="12" spans="1:16" x14ac:dyDescent="0.25">
      <c r="A12" s="2" t="s">
        <v>40</v>
      </c>
      <c r="B12" s="2" t="s">
        <v>33</v>
      </c>
      <c r="C12" s="2" t="s">
        <v>14</v>
      </c>
      <c r="D12" s="2" t="s">
        <v>37</v>
      </c>
      <c r="E12" s="2" t="str">
        <f>FlightOps[[#This Row],[Origin]]&amp;"-"&amp;FlightOps[[#This Row],[Destination]]</f>
        <v>Karachi-Jeddah</v>
      </c>
      <c r="F12" s="3">
        <v>45848.8125</v>
      </c>
      <c r="G12" s="26">
        <f>HOUR(FlightOps[[#This Row],[ScheduledDeparture]])</f>
        <v>19</v>
      </c>
      <c r="H12" s="22">
        <v>0</v>
      </c>
      <c r="I12" s="2" t="s">
        <v>35</v>
      </c>
      <c r="J12" s="2">
        <v>186</v>
      </c>
      <c r="K12" s="2">
        <v>96</v>
      </c>
      <c r="L12" s="19">
        <f>FlightOps[[#This Row],[SeatsSold]]/FlightOps[[#This Row],[SeatsAvailable]]</f>
        <v>0.5161290322580645</v>
      </c>
      <c r="M12" s="2" t="s">
        <v>25</v>
      </c>
      <c r="N12" s="4">
        <v>41708.730000000003</v>
      </c>
      <c r="O12" s="24">
        <f>FlightOps[[#This Row],[SeatsSold]]*FlightOps[[#This Row],[AvgTicketPrice]]</f>
        <v>4004038.08</v>
      </c>
      <c r="P12" s="2" t="s">
        <v>18</v>
      </c>
    </row>
    <row r="13" spans="1:16" x14ac:dyDescent="0.25">
      <c r="A13" s="2" t="s">
        <v>41</v>
      </c>
      <c r="B13" s="2" t="s">
        <v>42</v>
      </c>
      <c r="C13" s="2" t="s">
        <v>14</v>
      </c>
      <c r="D13" s="2" t="s">
        <v>24</v>
      </c>
      <c r="E13" s="2" t="str">
        <f>FlightOps[[#This Row],[Origin]]&amp;"-"&amp;FlightOps[[#This Row],[Destination]]</f>
        <v>Karachi-Lahore</v>
      </c>
      <c r="F13" s="3">
        <v>45932.541666666701</v>
      </c>
      <c r="G13" s="26">
        <f>HOUR(FlightOps[[#This Row],[ScheduledDeparture]])</f>
        <v>13</v>
      </c>
      <c r="H13" s="22">
        <v>11</v>
      </c>
      <c r="I13" s="2" t="s">
        <v>31</v>
      </c>
      <c r="J13" s="2">
        <v>220</v>
      </c>
      <c r="K13" s="2">
        <v>123</v>
      </c>
      <c r="L13" s="19">
        <f>FlightOps[[#This Row],[SeatsSold]]/FlightOps[[#This Row],[SeatsAvailable]]</f>
        <v>0.55909090909090908</v>
      </c>
      <c r="M13" s="2" t="s">
        <v>25</v>
      </c>
      <c r="N13" s="4">
        <v>73224.429999999993</v>
      </c>
      <c r="O13" s="24">
        <f>FlightOps[[#This Row],[SeatsSold]]*FlightOps[[#This Row],[AvgTicketPrice]]</f>
        <v>9006604.8899999987</v>
      </c>
      <c r="P13" s="2" t="s">
        <v>39</v>
      </c>
    </row>
    <row r="14" spans="1:16" x14ac:dyDescent="0.25">
      <c r="A14" s="2" t="s">
        <v>43</v>
      </c>
      <c r="B14" s="2" t="s">
        <v>23</v>
      </c>
      <c r="C14" s="2" t="s">
        <v>14</v>
      </c>
      <c r="D14" s="2" t="s">
        <v>24</v>
      </c>
      <c r="E14" s="2" t="str">
        <f>FlightOps[[#This Row],[Origin]]&amp;"-"&amp;FlightOps[[#This Row],[Destination]]</f>
        <v>Karachi-Lahore</v>
      </c>
      <c r="F14" s="3">
        <v>46023.395833333299</v>
      </c>
      <c r="G14" s="26">
        <f>HOUR(FlightOps[[#This Row],[ScheduledDeparture]])</f>
        <v>9</v>
      </c>
      <c r="H14" s="22">
        <v>0</v>
      </c>
      <c r="I14" s="2" t="s">
        <v>31</v>
      </c>
      <c r="J14" s="2">
        <v>220</v>
      </c>
      <c r="K14" s="2">
        <v>83</v>
      </c>
      <c r="L14" s="19">
        <f>FlightOps[[#This Row],[SeatsSold]]/FlightOps[[#This Row],[SeatsAvailable]]</f>
        <v>0.37727272727272726</v>
      </c>
      <c r="M14" s="2" t="s">
        <v>25</v>
      </c>
      <c r="N14" s="4">
        <v>59445.24</v>
      </c>
      <c r="O14" s="24">
        <f>FlightOps[[#This Row],[SeatsSold]]*FlightOps[[#This Row],[AvgTicketPrice]]</f>
        <v>4933954.92</v>
      </c>
      <c r="P14" s="2" t="s">
        <v>18</v>
      </c>
    </row>
    <row r="15" spans="1:16" x14ac:dyDescent="0.25">
      <c r="A15" s="2" t="s">
        <v>44</v>
      </c>
      <c r="B15" s="2" t="s">
        <v>13</v>
      </c>
      <c r="C15" s="2" t="s">
        <v>15</v>
      </c>
      <c r="D15" s="2" t="s">
        <v>37</v>
      </c>
      <c r="E15" s="2" t="str">
        <f>FlightOps[[#This Row],[Origin]]&amp;"-"&amp;FlightOps[[#This Row],[Destination]]</f>
        <v>Islamabad-Jeddah</v>
      </c>
      <c r="F15" s="3">
        <v>46085.9375</v>
      </c>
      <c r="G15" s="26">
        <f>HOUR(FlightOps[[#This Row],[ScheduledDeparture]])</f>
        <v>22</v>
      </c>
      <c r="H15" s="22">
        <v>0</v>
      </c>
      <c r="I15" s="2" t="s">
        <v>20</v>
      </c>
      <c r="J15" s="2">
        <v>72</v>
      </c>
      <c r="K15" s="2">
        <v>58</v>
      </c>
      <c r="L15" s="19">
        <f>FlightOps[[#This Row],[SeatsSold]]/FlightOps[[#This Row],[SeatsAvailable]]</f>
        <v>0.80555555555555558</v>
      </c>
      <c r="M15" s="2" t="s">
        <v>17</v>
      </c>
      <c r="N15" s="4">
        <v>44958.36</v>
      </c>
      <c r="O15" s="24">
        <f>FlightOps[[#This Row],[SeatsSold]]*FlightOps[[#This Row],[AvgTicketPrice]]</f>
        <v>2607584.88</v>
      </c>
      <c r="P15" s="2" t="s">
        <v>18</v>
      </c>
    </row>
    <row r="16" spans="1:16" x14ac:dyDescent="0.25">
      <c r="A16" s="2" t="s">
        <v>45</v>
      </c>
      <c r="B16" s="2" t="s">
        <v>23</v>
      </c>
      <c r="C16" s="2" t="s">
        <v>14</v>
      </c>
      <c r="D16" s="2" t="s">
        <v>15</v>
      </c>
      <c r="E16" s="2" t="str">
        <f>FlightOps[[#This Row],[Origin]]&amp;"-"&amp;FlightOps[[#This Row],[Destination]]</f>
        <v>Karachi-Islamabad</v>
      </c>
      <c r="F16" s="3">
        <v>46018.854166666701</v>
      </c>
      <c r="G16" s="26">
        <f>HOUR(FlightOps[[#This Row],[ScheduledDeparture]])</f>
        <v>20</v>
      </c>
      <c r="H16" s="22">
        <v>43</v>
      </c>
      <c r="I16" s="2" t="s">
        <v>16</v>
      </c>
      <c r="J16" s="2">
        <v>180</v>
      </c>
      <c r="K16" s="2">
        <v>164</v>
      </c>
      <c r="L16" s="19">
        <f>FlightOps[[#This Row],[SeatsSold]]/FlightOps[[#This Row],[SeatsAvailable]]</f>
        <v>0.91111111111111109</v>
      </c>
      <c r="M16" s="2" t="s">
        <v>17</v>
      </c>
      <c r="N16" s="4">
        <v>10831.32</v>
      </c>
      <c r="O16" s="24">
        <f>FlightOps[[#This Row],[SeatsSold]]*FlightOps[[#This Row],[AvgTicketPrice]]</f>
        <v>1776336.48</v>
      </c>
      <c r="P16" s="2" t="s">
        <v>26</v>
      </c>
    </row>
    <row r="17" spans="1:16" x14ac:dyDescent="0.25">
      <c r="A17" s="2" t="s">
        <v>46</v>
      </c>
      <c r="B17" s="2" t="s">
        <v>33</v>
      </c>
      <c r="C17" s="2" t="s">
        <v>14</v>
      </c>
      <c r="D17" s="2" t="s">
        <v>37</v>
      </c>
      <c r="E17" s="2" t="str">
        <f>FlightOps[[#This Row],[Origin]]&amp;"-"&amp;FlightOps[[#This Row],[Destination]]</f>
        <v>Karachi-Jeddah</v>
      </c>
      <c r="F17" s="3">
        <v>45939.875</v>
      </c>
      <c r="G17" s="26">
        <f>HOUR(FlightOps[[#This Row],[ScheduledDeparture]])</f>
        <v>21</v>
      </c>
      <c r="H17" s="22">
        <v>24</v>
      </c>
      <c r="I17" s="2" t="s">
        <v>35</v>
      </c>
      <c r="J17" s="2">
        <v>186</v>
      </c>
      <c r="K17" s="2">
        <v>117</v>
      </c>
      <c r="L17" s="19">
        <f>FlightOps[[#This Row],[SeatsSold]]/FlightOps[[#This Row],[SeatsAvailable]]</f>
        <v>0.62903225806451613</v>
      </c>
      <c r="M17" s="2" t="s">
        <v>17</v>
      </c>
      <c r="N17" s="4">
        <v>18096.060000000001</v>
      </c>
      <c r="O17" s="24">
        <f>FlightOps[[#This Row],[SeatsSold]]*FlightOps[[#This Row],[AvgTicketPrice]]</f>
        <v>2117239.02</v>
      </c>
      <c r="P17" s="2" t="s">
        <v>39</v>
      </c>
    </row>
    <row r="18" spans="1:16" x14ac:dyDescent="0.25">
      <c r="A18" s="2" t="s">
        <v>47</v>
      </c>
      <c r="B18" s="2" t="s">
        <v>33</v>
      </c>
      <c r="C18" s="2" t="s">
        <v>14</v>
      </c>
      <c r="D18" s="2" t="s">
        <v>24</v>
      </c>
      <c r="E18" s="2" t="str">
        <f>FlightOps[[#This Row],[Origin]]&amp;"-"&amp;FlightOps[[#This Row],[Destination]]</f>
        <v>Karachi-Lahore</v>
      </c>
      <c r="F18" s="3">
        <v>45991.677083333299</v>
      </c>
      <c r="G18" s="26">
        <f>HOUR(FlightOps[[#This Row],[ScheduledDeparture]])</f>
        <v>16</v>
      </c>
      <c r="H18" s="22">
        <v>21</v>
      </c>
      <c r="I18" s="2" t="s">
        <v>31</v>
      </c>
      <c r="J18" s="2">
        <v>220</v>
      </c>
      <c r="K18" s="2">
        <v>115</v>
      </c>
      <c r="L18" s="19">
        <f>FlightOps[[#This Row],[SeatsSold]]/FlightOps[[#This Row],[SeatsAvailable]]</f>
        <v>0.52272727272727271</v>
      </c>
      <c r="M18" s="2" t="s">
        <v>17</v>
      </c>
      <c r="N18" s="4">
        <v>42050.13</v>
      </c>
      <c r="O18" s="24">
        <f>FlightOps[[#This Row],[SeatsSold]]*FlightOps[[#This Row],[AvgTicketPrice]]</f>
        <v>4835764.9499999993</v>
      </c>
      <c r="P18" s="2" t="s">
        <v>39</v>
      </c>
    </row>
    <row r="19" spans="1:16" x14ac:dyDescent="0.25">
      <c r="A19" s="2" t="s">
        <v>48</v>
      </c>
      <c r="B19" s="2" t="s">
        <v>23</v>
      </c>
      <c r="C19" s="2" t="s">
        <v>14</v>
      </c>
      <c r="D19" s="2" t="s">
        <v>24</v>
      </c>
      <c r="E19" s="2" t="str">
        <f>FlightOps[[#This Row],[Origin]]&amp;"-"&amp;FlightOps[[#This Row],[Destination]]</f>
        <v>Karachi-Lahore</v>
      </c>
      <c r="F19" s="3">
        <v>45865.927083333299</v>
      </c>
      <c r="G19" s="26">
        <f>HOUR(FlightOps[[#This Row],[ScheduledDeparture]])</f>
        <v>22</v>
      </c>
      <c r="H19" s="22">
        <v>12</v>
      </c>
      <c r="I19" s="2" t="s">
        <v>20</v>
      </c>
      <c r="J19" s="2">
        <v>72</v>
      </c>
      <c r="K19" s="2">
        <v>62</v>
      </c>
      <c r="L19" s="19">
        <f>FlightOps[[#This Row],[SeatsSold]]/FlightOps[[#This Row],[SeatsAvailable]]</f>
        <v>0.86111111111111116</v>
      </c>
      <c r="M19" s="2" t="s">
        <v>25</v>
      </c>
      <c r="N19" s="4">
        <v>128994.4</v>
      </c>
      <c r="O19" s="24">
        <f>FlightOps[[#This Row],[SeatsSold]]*FlightOps[[#This Row],[AvgTicketPrice]]</f>
        <v>7997652.7999999998</v>
      </c>
      <c r="P19" s="2" t="s">
        <v>49</v>
      </c>
    </row>
    <row r="20" spans="1:16" x14ac:dyDescent="0.25">
      <c r="A20" s="2" t="s">
        <v>50</v>
      </c>
      <c r="B20" s="2" t="s">
        <v>13</v>
      </c>
      <c r="C20" s="2" t="s">
        <v>14</v>
      </c>
      <c r="D20" s="2" t="s">
        <v>30</v>
      </c>
      <c r="E20" s="2" t="str">
        <f>FlightOps[[#This Row],[Origin]]&amp;"-"&amp;FlightOps[[#This Row],[Destination]]</f>
        <v>Karachi-Dubai</v>
      </c>
      <c r="F20" s="3">
        <v>46162.645833333299</v>
      </c>
      <c r="G20" s="26">
        <f>HOUR(FlightOps[[#This Row],[ScheduledDeparture]])</f>
        <v>15</v>
      </c>
      <c r="H20" s="22">
        <v>19</v>
      </c>
      <c r="I20" s="2" t="s">
        <v>35</v>
      </c>
      <c r="J20" s="2">
        <v>186</v>
      </c>
      <c r="K20" s="2">
        <v>68</v>
      </c>
      <c r="L20" s="19">
        <f>FlightOps[[#This Row],[SeatsSold]]/FlightOps[[#This Row],[SeatsAvailable]]</f>
        <v>0.36559139784946237</v>
      </c>
      <c r="M20" s="2" t="s">
        <v>25</v>
      </c>
      <c r="N20" s="4">
        <v>130046.54</v>
      </c>
      <c r="O20" s="24">
        <f>FlightOps[[#This Row],[SeatsSold]]*FlightOps[[#This Row],[AvgTicketPrice]]</f>
        <v>8843164.7199999988</v>
      </c>
      <c r="P20" s="2" t="s">
        <v>49</v>
      </c>
    </row>
    <row r="21" spans="1:16" x14ac:dyDescent="0.25">
      <c r="A21" s="2" t="s">
        <v>51</v>
      </c>
      <c r="B21" s="2" t="s">
        <v>33</v>
      </c>
      <c r="C21" s="2" t="s">
        <v>24</v>
      </c>
      <c r="D21" s="2" t="s">
        <v>15</v>
      </c>
      <c r="E21" s="2" t="str">
        <f>FlightOps[[#This Row],[Origin]]&amp;"-"&amp;FlightOps[[#This Row],[Destination]]</f>
        <v>Lahore-Islamabad</v>
      </c>
      <c r="F21" s="3">
        <v>46051.958333333299</v>
      </c>
      <c r="G21" s="26">
        <f>HOUR(FlightOps[[#This Row],[ScheduledDeparture]])</f>
        <v>23</v>
      </c>
      <c r="H21" s="22">
        <v>35</v>
      </c>
      <c r="I21" s="2" t="s">
        <v>35</v>
      </c>
      <c r="J21" s="2">
        <v>186</v>
      </c>
      <c r="K21" s="2">
        <v>139</v>
      </c>
      <c r="L21" s="19">
        <f>FlightOps[[#This Row],[SeatsSold]]/FlightOps[[#This Row],[SeatsAvailable]]</f>
        <v>0.74731182795698925</v>
      </c>
      <c r="M21" s="2" t="s">
        <v>17</v>
      </c>
      <c r="N21" s="4">
        <v>47273.99</v>
      </c>
      <c r="O21" s="24">
        <f>FlightOps[[#This Row],[SeatsSold]]*FlightOps[[#This Row],[AvgTicketPrice]]</f>
        <v>6571084.6099999994</v>
      </c>
      <c r="P21" s="2" t="s">
        <v>49</v>
      </c>
    </row>
    <row r="22" spans="1:16" x14ac:dyDescent="0.25">
      <c r="A22" s="2" t="s">
        <v>52</v>
      </c>
      <c r="B22" s="2" t="s">
        <v>23</v>
      </c>
      <c r="C22" s="2" t="s">
        <v>24</v>
      </c>
      <c r="D22" s="2" t="s">
        <v>15</v>
      </c>
      <c r="E22" s="2" t="str">
        <f>FlightOps[[#This Row],[Origin]]&amp;"-"&amp;FlightOps[[#This Row],[Destination]]</f>
        <v>Lahore-Islamabad</v>
      </c>
      <c r="F22" s="3">
        <v>46138.927083333299</v>
      </c>
      <c r="G22" s="26">
        <f>HOUR(FlightOps[[#This Row],[ScheduledDeparture]])</f>
        <v>22</v>
      </c>
      <c r="H22" s="22">
        <v>30</v>
      </c>
      <c r="I22" s="2" t="s">
        <v>16</v>
      </c>
      <c r="J22" s="2">
        <v>180</v>
      </c>
      <c r="K22" s="2">
        <v>179</v>
      </c>
      <c r="L22" s="19">
        <f>FlightOps[[#This Row],[SeatsSold]]/FlightOps[[#This Row],[SeatsAvailable]]</f>
        <v>0.99444444444444446</v>
      </c>
      <c r="M22" s="2" t="s">
        <v>17</v>
      </c>
      <c r="N22" s="4">
        <v>11749.35</v>
      </c>
      <c r="O22" s="24">
        <f>FlightOps[[#This Row],[SeatsSold]]*FlightOps[[#This Row],[AvgTicketPrice]]</f>
        <v>2103133.65</v>
      </c>
      <c r="P22" s="2" t="s">
        <v>26</v>
      </c>
    </row>
    <row r="23" spans="1:16" x14ac:dyDescent="0.25">
      <c r="A23" s="2" t="s">
        <v>53</v>
      </c>
      <c r="B23" s="2" t="s">
        <v>13</v>
      </c>
      <c r="C23" s="2" t="s">
        <v>14</v>
      </c>
      <c r="D23" s="2" t="s">
        <v>37</v>
      </c>
      <c r="E23" s="2" t="str">
        <f>FlightOps[[#This Row],[Origin]]&amp;"-"&amp;FlightOps[[#This Row],[Destination]]</f>
        <v>Karachi-Jeddah</v>
      </c>
      <c r="F23" s="3">
        <v>45882.583333333299</v>
      </c>
      <c r="G23" s="26">
        <f>HOUR(FlightOps[[#This Row],[ScheduledDeparture]])</f>
        <v>14</v>
      </c>
      <c r="H23" s="22">
        <v>13</v>
      </c>
      <c r="I23" s="2" t="s">
        <v>16</v>
      </c>
      <c r="J23" s="2">
        <v>180</v>
      </c>
      <c r="K23" s="2">
        <v>124</v>
      </c>
      <c r="L23" s="19">
        <f>FlightOps[[#This Row],[SeatsSold]]/FlightOps[[#This Row],[SeatsAvailable]]</f>
        <v>0.68888888888888888</v>
      </c>
      <c r="M23" s="2" t="s">
        <v>25</v>
      </c>
      <c r="N23" s="4">
        <v>135473.18</v>
      </c>
      <c r="O23" s="24">
        <f>FlightOps[[#This Row],[SeatsSold]]*FlightOps[[#This Row],[AvgTicketPrice]]</f>
        <v>16798674.32</v>
      </c>
      <c r="P23" s="2" t="s">
        <v>26</v>
      </c>
    </row>
    <row r="24" spans="1:16" x14ac:dyDescent="0.25">
      <c r="A24" s="2" t="s">
        <v>54</v>
      </c>
      <c r="B24" s="2" t="s">
        <v>33</v>
      </c>
      <c r="C24" s="2" t="s">
        <v>24</v>
      </c>
      <c r="D24" s="2" t="s">
        <v>28</v>
      </c>
      <c r="E24" s="2" t="str">
        <f>FlightOps[[#This Row],[Origin]]&amp;"-"&amp;FlightOps[[#This Row],[Destination]]</f>
        <v>Lahore-London</v>
      </c>
      <c r="F24" s="3">
        <v>45962.854166666701</v>
      </c>
      <c r="G24" s="26">
        <f>HOUR(FlightOps[[#This Row],[ScheduledDeparture]])</f>
        <v>20</v>
      </c>
      <c r="H24" s="22">
        <v>45</v>
      </c>
      <c r="I24" s="2" t="s">
        <v>35</v>
      </c>
      <c r="J24" s="2">
        <v>186</v>
      </c>
      <c r="K24" s="2">
        <v>132</v>
      </c>
      <c r="L24" s="19">
        <f>FlightOps[[#This Row],[SeatsSold]]/FlightOps[[#This Row],[SeatsAvailable]]</f>
        <v>0.70967741935483875</v>
      </c>
      <c r="M24" s="2" t="s">
        <v>25</v>
      </c>
      <c r="N24" s="4">
        <v>99094.55</v>
      </c>
      <c r="O24" s="24">
        <f>FlightOps[[#This Row],[SeatsSold]]*FlightOps[[#This Row],[AvgTicketPrice]]</f>
        <v>13080480.6</v>
      </c>
      <c r="P24" s="2" t="s">
        <v>49</v>
      </c>
    </row>
    <row r="25" spans="1:16" x14ac:dyDescent="0.25">
      <c r="A25" s="2" t="s">
        <v>55</v>
      </c>
      <c r="B25" s="2" t="s">
        <v>13</v>
      </c>
      <c r="C25" s="2" t="s">
        <v>14</v>
      </c>
      <c r="D25" s="2" t="s">
        <v>37</v>
      </c>
      <c r="E25" s="2" t="str">
        <f>FlightOps[[#This Row],[Origin]]&amp;"-"&amp;FlightOps[[#This Row],[Destination]]</f>
        <v>Karachi-Jeddah</v>
      </c>
      <c r="F25" s="3">
        <v>45953.729166666701</v>
      </c>
      <c r="G25" s="26">
        <f>HOUR(FlightOps[[#This Row],[ScheduledDeparture]])</f>
        <v>17</v>
      </c>
      <c r="H25" s="22">
        <v>10</v>
      </c>
      <c r="I25" s="2" t="s">
        <v>31</v>
      </c>
      <c r="J25" s="2">
        <v>220</v>
      </c>
      <c r="K25" s="2">
        <v>98</v>
      </c>
      <c r="L25" s="19">
        <f>FlightOps[[#This Row],[SeatsSold]]/FlightOps[[#This Row],[SeatsAvailable]]</f>
        <v>0.44545454545454544</v>
      </c>
      <c r="M25" s="2" t="s">
        <v>25</v>
      </c>
      <c r="N25" s="4">
        <v>137857.01999999999</v>
      </c>
      <c r="O25" s="24">
        <f>FlightOps[[#This Row],[SeatsSold]]*FlightOps[[#This Row],[AvgTicketPrice]]</f>
        <v>13509987.959999999</v>
      </c>
      <c r="P25" s="2" t="s">
        <v>21</v>
      </c>
    </row>
    <row r="26" spans="1:16" x14ac:dyDescent="0.25">
      <c r="A26" s="2" t="s">
        <v>56</v>
      </c>
      <c r="B26" s="2" t="s">
        <v>33</v>
      </c>
      <c r="C26" s="2" t="s">
        <v>14</v>
      </c>
      <c r="D26" s="2" t="s">
        <v>30</v>
      </c>
      <c r="E26" s="2" t="str">
        <f>FlightOps[[#This Row],[Origin]]&amp;"-"&amp;FlightOps[[#This Row],[Destination]]</f>
        <v>Karachi-Dubai</v>
      </c>
      <c r="F26" s="3">
        <v>46034.322916666701</v>
      </c>
      <c r="G26" s="26">
        <f>HOUR(FlightOps[[#This Row],[ScheduledDeparture]])</f>
        <v>7</v>
      </c>
      <c r="H26" s="22">
        <v>30</v>
      </c>
      <c r="I26" s="2" t="s">
        <v>31</v>
      </c>
      <c r="J26" s="2">
        <v>220</v>
      </c>
      <c r="K26" s="2">
        <v>103</v>
      </c>
      <c r="L26" s="19">
        <f>FlightOps[[#This Row],[SeatsSold]]/FlightOps[[#This Row],[SeatsAvailable]]</f>
        <v>0.4681818181818182</v>
      </c>
      <c r="M26" s="2" t="s">
        <v>17</v>
      </c>
      <c r="N26" s="4">
        <v>54181.22</v>
      </c>
      <c r="O26" s="24">
        <f>FlightOps[[#This Row],[SeatsSold]]*FlightOps[[#This Row],[AvgTicketPrice]]</f>
        <v>5580665.6600000001</v>
      </c>
      <c r="P26" s="2" t="s">
        <v>39</v>
      </c>
    </row>
    <row r="27" spans="1:16" x14ac:dyDescent="0.25">
      <c r="A27" s="2" t="s">
        <v>57</v>
      </c>
      <c r="B27" s="2" t="s">
        <v>23</v>
      </c>
      <c r="C27" s="2" t="s">
        <v>14</v>
      </c>
      <c r="D27" s="2" t="s">
        <v>24</v>
      </c>
      <c r="E27" s="2" t="str">
        <f>FlightOps[[#This Row],[Origin]]&amp;"-"&amp;FlightOps[[#This Row],[Destination]]</f>
        <v>Karachi-Lahore</v>
      </c>
      <c r="F27" s="3">
        <v>46046.65625</v>
      </c>
      <c r="G27" s="26">
        <f>HOUR(FlightOps[[#This Row],[ScheduledDeparture]])</f>
        <v>15</v>
      </c>
      <c r="H27" s="22">
        <v>22</v>
      </c>
      <c r="I27" s="2" t="s">
        <v>20</v>
      </c>
      <c r="J27" s="2">
        <v>72</v>
      </c>
      <c r="K27" s="2">
        <v>40</v>
      </c>
      <c r="L27" s="19">
        <f>FlightOps[[#This Row],[SeatsSold]]/FlightOps[[#This Row],[SeatsAvailable]]</f>
        <v>0.55555555555555558</v>
      </c>
      <c r="M27" s="2" t="s">
        <v>25</v>
      </c>
      <c r="N27" s="4">
        <v>97072.25</v>
      </c>
      <c r="O27" s="24">
        <f>FlightOps[[#This Row],[SeatsSold]]*FlightOps[[#This Row],[AvgTicketPrice]]</f>
        <v>3882890</v>
      </c>
      <c r="P27" s="2" t="s">
        <v>21</v>
      </c>
    </row>
    <row r="28" spans="1:16" x14ac:dyDescent="0.25">
      <c r="A28" s="2" t="s">
        <v>58</v>
      </c>
      <c r="B28" s="2" t="s">
        <v>42</v>
      </c>
      <c r="C28" s="2" t="s">
        <v>14</v>
      </c>
      <c r="D28" s="2" t="s">
        <v>30</v>
      </c>
      <c r="E28" s="2" t="str">
        <f>FlightOps[[#This Row],[Origin]]&amp;"-"&amp;FlightOps[[#This Row],[Destination]]</f>
        <v>Karachi-Dubai</v>
      </c>
      <c r="F28" s="3">
        <v>46111.84375</v>
      </c>
      <c r="G28" s="26">
        <f>HOUR(FlightOps[[#This Row],[ScheduledDeparture]])</f>
        <v>20</v>
      </c>
      <c r="H28" s="22">
        <v>0</v>
      </c>
      <c r="I28" s="2" t="s">
        <v>31</v>
      </c>
      <c r="J28" s="2">
        <v>220</v>
      </c>
      <c r="K28" s="2">
        <v>146</v>
      </c>
      <c r="L28" s="19">
        <f>FlightOps[[#This Row],[SeatsSold]]/FlightOps[[#This Row],[SeatsAvailable]]</f>
        <v>0.66363636363636369</v>
      </c>
      <c r="M28" s="2" t="s">
        <v>17</v>
      </c>
      <c r="N28" s="4">
        <v>55788.01</v>
      </c>
      <c r="O28" s="24">
        <f>FlightOps[[#This Row],[SeatsSold]]*FlightOps[[#This Row],[AvgTicketPrice]]</f>
        <v>8145049.46</v>
      </c>
      <c r="P28" s="2" t="s">
        <v>18</v>
      </c>
    </row>
    <row r="29" spans="1:16" x14ac:dyDescent="0.25">
      <c r="A29" s="2" t="s">
        <v>59</v>
      </c>
      <c r="B29" s="2" t="s">
        <v>13</v>
      </c>
      <c r="C29" s="2" t="s">
        <v>14</v>
      </c>
      <c r="D29" s="2" t="s">
        <v>37</v>
      </c>
      <c r="E29" s="2" t="str">
        <f>FlightOps[[#This Row],[Origin]]&amp;"-"&amp;FlightOps[[#This Row],[Destination]]</f>
        <v>Karachi-Jeddah</v>
      </c>
      <c r="F29" s="3">
        <v>45935.833333333299</v>
      </c>
      <c r="G29" s="26">
        <f>HOUR(FlightOps[[#This Row],[ScheduledDeparture]])</f>
        <v>20</v>
      </c>
      <c r="H29" s="22">
        <v>0</v>
      </c>
      <c r="I29" s="2" t="s">
        <v>31</v>
      </c>
      <c r="J29" s="2">
        <v>220</v>
      </c>
      <c r="K29" s="2">
        <v>180</v>
      </c>
      <c r="L29" s="19">
        <f>FlightOps[[#This Row],[SeatsSold]]/FlightOps[[#This Row],[SeatsAvailable]]</f>
        <v>0.81818181818181823</v>
      </c>
      <c r="M29" s="2" t="s">
        <v>25</v>
      </c>
      <c r="N29" s="4">
        <v>55271.7</v>
      </c>
      <c r="O29" s="24">
        <f>FlightOps[[#This Row],[SeatsSold]]*FlightOps[[#This Row],[AvgTicketPrice]]</f>
        <v>9948906</v>
      </c>
      <c r="P29" s="2" t="s">
        <v>18</v>
      </c>
    </row>
    <row r="30" spans="1:16" x14ac:dyDescent="0.25">
      <c r="A30" s="2" t="s">
        <v>60</v>
      </c>
      <c r="B30" s="2" t="s">
        <v>13</v>
      </c>
      <c r="C30" s="2" t="s">
        <v>15</v>
      </c>
      <c r="D30" s="2" t="s">
        <v>37</v>
      </c>
      <c r="E30" s="2" t="str">
        <f>FlightOps[[#This Row],[Origin]]&amp;"-"&amp;FlightOps[[#This Row],[Destination]]</f>
        <v>Islamabad-Jeddah</v>
      </c>
      <c r="F30" s="3">
        <v>45902.427083333299</v>
      </c>
      <c r="G30" s="26">
        <f>HOUR(FlightOps[[#This Row],[ScheduledDeparture]])</f>
        <v>10</v>
      </c>
      <c r="H30" s="22">
        <v>0</v>
      </c>
      <c r="I30" s="2" t="s">
        <v>35</v>
      </c>
      <c r="J30" s="2">
        <v>186</v>
      </c>
      <c r="K30" s="2">
        <v>67</v>
      </c>
      <c r="L30" s="19">
        <f>FlightOps[[#This Row],[SeatsSold]]/FlightOps[[#This Row],[SeatsAvailable]]</f>
        <v>0.36021505376344087</v>
      </c>
      <c r="M30" s="2" t="s">
        <v>25</v>
      </c>
      <c r="N30" s="4">
        <v>134621.82</v>
      </c>
      <c r="O30" s="24">
        <f>FlightOps[[#This Row],[SeatsSold]]*FlightOps[[#This Row],[AvgTicketPrice]]</f>
        <v>9019661.9400000013</v>
      </c>
      <c r="P30" s="2" t="s">
        <v>18</v>
      </c>
    </row>
    <row r="31" spans="1:16" x14ac:dyDescent="0.25">
      <c r="A31" s="2" t="s">
        <v>61</v>
      </c>
      <c r="B31" s="2" t="s">
        <v>13</v>
      </c>
      <c r="C31" s="2" t="s">
        <v>14</v>
      </c>
      <c r="D31" s="2" t="s">
        <v>15</v>
      </c>
      <c r="E31" s="2" t="str">
        <f>FlightOps[[#This Row],[Origin]]&amp;"-"&amp;FlightOps[[#This Row],[Destination]]</f>
        <v>Karachi-Islamabad</v>
      </c>
      <c r="F31" s="3">
        <v>45944.510416666701</v>
      </c>
      <c r="G31" s="26">
        <f>HOUR(FlightOps[[#This Row],[ScheduledDeparture]])</f>
        <v>12</v>
      </c>
      <c r="H31" s="22">
        <v>0</v>
      </c>
      <c r="I31" s="2" t="s">
        <v>31</v>
      </c>
      <c r="J31" s="2">
        <v>220</v>
      </c>
      <c r="K31" s="2">
        <v>173</v>
      </c>
      <c r="L31" s="19">
        <f>FlightOps[[#This Row],[SeatsSold]]/FlightOps[[#This Row],[SeatsAvailable]]</f>
        <v>0.78636363636363638</v>
      </c>
      <c r="M31" s="2" t="s">
        <v>25</v>
      </c>
      <c r="N31" s="4">
        <v>95572.62</v>
      </c>
      <c r="O31" s="24">
        <f>FlightOps[[#This Row],[SeatsSold]]*FlightOps[[#This Row],[AvgTicketPrice]]</f>
        <v>16534063.26</v>
      </c>
      <c r="P31" s="2" t="s">
        <v>18</v>
      </c>
    </row>
    <row r="32" spans="1:16" x14ac:dyDescent="0.25">
      <c r="A32" s="2" t="s">
        <v>62</v>
      </c>
      <c r="B32" s="2" t="s">
        <v>33</v>
      </c>
      <c r="C32" s="2" t="s">
        <v>14</v>
      </c>
      <c r="D32" s="2" t="s">
        <v>30</v>
      </c>
      <c r="E32" s="2" t="str">
        <f>FlightOps[[#This Row],[Origin]]&amp;"-"&amp;FlightOps[[#This Row],[Destination]]</f>
        <v>Karachi-Dubai</v>
      </c>
      <c r="F32" s="3">
        <v>46070.302083333299</v>
      </c>
      <c r="G32" s="26">
        <f>HOUR(FlightOps[[#This Row],[ScheduledDeparture]])</f>
        <v>7</v>
      </c>
      <c r="H32" s="22">
        <v>6</v>
      </c>
      <c r="I32" s="2" t="s">
        <v>20</v>
      </c>
      <c r="J32" s="2">
        <v>72</v>
      </c>
      <c r="K32" s="2">
        <v>72</v>
      </c>
      <c r="L32" s="19">
        <f>FlightOps[[#This Row],[SeatsSold]]/FlightOps[[#This Row],[SeatsAvailable]]</f>
        <v>1</v>
      </c>
      <c r="M32" s="2" t="s">
        <v>25</v>
      </c>
      <c r="N32" s="4">
        <v>141132.54999999999</v>
      </c>
      <c r="O32" s="24">
        <f>FlightOps[[#This Row],[SeatsSold]]*FlightOps[[#This Row],[AvgTicketPrice]]</f>
        <v>10161543.6</v>
      </c>
      <c r="P32" s="2" t="s">
        <v>39</v>
      </c>
    </row>
    <row r="33" spans="1:16" x14ac:dyDescent="0.25">
      <c r="A33" s="2" t="s">
        <v>63</v>
      </c>
      <c r="B33" s="2" t="s">
        <v>33</v>
      </c>
      <c r="C33" s="2" t="s">
        <v>14</v>
      </c>
      <c r="D33" s="2" t="s">
        <v>24</v>
      </c>
      <c r="E33" s="2" t="str">
        <f>FlightOps[[#This Row],[Origin]]&amp;"-"&amp;FlightOps[[#This Row],[Destination]]</f>
        <v>Karachi-Lahore</v>
      </c>
      <c r="F33" s="3">
        <v>45909.729166666701</v>
      </c>
      <c r="G33" s="26">
        <f>HOUR(FlightOps[[#This Row],[ScheduledDeparture]])</f>
        <v>17</v>
      </c>
      <c r="H33" s="22">
        <v>0</v>
      </c>
      <c r="I33" s="2" t="s">
        <v>20</v>
      </c>
      <c r="J33" s="2">
        <v>72</v>
      </c>
      <c r="K33" s="2">
        <v>47</v>
      </c>
      <c r="L33" s="19">
        <f>FlightOps[[#This Row],[SeatsSold]]/FlightOps[[#This Row],[SeatsAvailable]]</f>
        <v>0.65277777777777779</v>
      </c>
      <c r="M33" s="2" t="s">
        <v>17</v>
      </c>
      <c r="N33" s="4">
        <v>38873.81</v>
      </c>
      <c r="O33" s="24">
        <f>FlightOps[[#This Row],[SeatsSold]]*FlightOps[[#This Row],[AvgTicketPrice]]</f>
        <v>1827069.0699999998</v>
      </c>
      <c r="P33" s="2" t="s">
        <v>18</v>
      </c>
    </row>
    <row r="34" spans="1:16" x14ac:dyDescent="0.25">
      <c r="A34" s="2" t="s">
        <v>64</v>
      </c>
      <c r="B34" s="2" t="s">
        <v>23</v>
      </c>
      <c r="C34" s="2" t="s">
        <v>24</v>
      </c>
      <c r="D34" s="2" t="s">
        <v>28</v>
      </c>
      <c r="E34" s="2" t="str">
        <f>FlightOps[[#This Row],[Origin]]&amp;"-"&amp;FlightOps[[#This Row],[Destination]]</f>
        <v>Lahore-London</v>
      </c>
      <c r="F34" s="3">
        <v>45982.520833333299</v>
      </c>
      <c r="G34" s="26">
        <f>HOUR(FlightOps[[#This Row],[ScheduledDeparture]])</f>
        <v>12</v>
      </c>
      <c r="H34" s="22">
        <v>8</v>
      </c>
      <c r="I34" s="2" t="s">
        <v>31</v>
      </c>
      <c r="J34" s="2">
        <v>220</v>
      </c>
      <c r="K34" s="2">
        <v>77</v>
      </c>
      <c r="L34" s="19">
        <f>FlightOps[[#This Row],[SeatsSold]]/FlightOps[[#This Row],[SeatsAvailable]]</f>
        <v>0.35</v>
      </c>
      <c r="M34" s="2" t="s">
        <v>17</v>
      </c>
      <c r="N34" s="4">
        <v>30966.75</v>
      </c>
      <c r="O34" s="24">
        <f>FlightOps[[#This Row],[SeatsSold]]*FlightOps[[#This Row],[AvgTicketPrice]]</f>
        <v>2384439.75</v>
      </c>
      <c r="P34" s="2" t="s">
        <v>21</v>
      </c>
    </row>
    <row r="35" spans="1:16" x14ac:dyDescent="0.25">
      <c r="A35" s="2" t="s">
        <v>65</v>
      </c>
      <c r="B35" s="2" t="s">
        <v>13</v>
      </c>
      <c r="C35" s="2" t="s">
        <v>14</v>
      </c>
      <c r="D35" s="2" t="s">
        <v>15</v>
      </c>
      <c r="E35" s="2" t="str">
        <f>FlightOps[[#This Row],[Origin]]&amp;"-"&amp;FlightOps[[#This Row],[Destination]]</f>
        <v>Karachi-Islamabad</v>
      </c>
      <c r="F35" s="3">
        <v>45869.541666666701</v>
      </c>
      <c r="G35" s="26">
        <f>HOUR(FlightOps[[#This Row],[ScheduledDeparture]])</f>
        <v>13</v>
      </c>
      <c r="H35" s="22">
        <v>3</v>
      </c>
      <c r="I35" s="2" t="s">
        <v>20</v>
      </c>
      <c r="J35" s="2">
        <v>72</v>
      </c>
      <c r="K35" s="2">
        <v>69</v>
      </c>
      <c r="L35" s="19">
        <f>FlightOps[[#This Row],[SeatsSold]]/FlightOps[[#This Row],[SeatsAvailable]]</f>
        <v>0.95833333333333337</v>
      </c>
      <c r="M35" s="2" t="s">
        <v>17</v>
      </c>
      <c r="N35" s="4">
        <v>55283.24</v>
      </c>
      <c r="O35" s="24">
        <f>FlightOps[[#This Row],[SeatsSold]]*FlightOps[[#This Row],[AvgTicketPrice]]</f>
        <v>3814543.56</v>
      </c>
      <c r="P35" s="2" t="s">
        <v>26</v>
      </c>
    </row>
    <row r="36" spans="1:16" x14ac:dyDescent="0.25">
      <c r="A36" s="2" t="s">
        <v>66</v>
      </c>
      <c r="B36" s="2" t="s">
        <v>42</v>
      </c>
      <c r="C36" s="2" t="s">
        <v>24</v>
      </c>
      <c r="D36" s="2" t="s">
        <v>30</v>
      </c>
      <c r="E36" s="2" t="str">
        <f>FlightOps[[#This Row],[Origin]]&amp;"-"&amp;FlightOps[[#This Row],[Destination]]</f>
        <v>Lahore-Dubai</v>
      </c>
      <c r="F36" s="3">
        <v>45992.770833333299</v>
      </c>
      <c r="G36" s="26">
        <f>HOUR(FlightOps[[#This Row],[ScheduledDeparture]])</f>
        <v>18</v>
      </c>
      <c r="H36" s="22">
        <v>0</v>
      </c>
      <c r="I36" s="2" t="s">
        <v>16</v>
      </c>
      <c r="J36" s="2">
        <v>180</v>
      </c>
      <c r="K36" s="2">
        <v>136</v>
      </c>
      <c r="L36" s="19">
        <f>FlightOps[[#This Row],[SeatsSold]]/FlightOps[[#This Row],[SeatsAvailable]]</f>
        <v>0.75555555555555554</v>
      </c>
      <c r="M36" s="2" t="s">
        <v>25</v>
      </c>
      <c r="N36" s="4">
        <v>89067.53</v>
      </c>
      <c r="O36" s="24">
        <f>FlightOps[[#This Row],[SeatsSold]]*FlightOps[[#This Row],[AvgTicketPrice]]</f>
        <v>12113184.08</v>
      </c>
      <c r="P36" s="2" t="s">
        <v>18</v>
      </c>
    </row>
    <row r="37" spans="1:16" x14ac:dyDescent="0.25">
      <c r="A37" s="2" t="s">
        <v>67</v>
      </c>
      <c r="B37" s="2" t="s">
        <v>13</v>
      </c>
      <c r="C37" s="2" t="s">
        <v>24</v>
      </c>
      <c r="D37" s="2" t="s">
        <v>28</v>
      </c>
      <c r="E37" s="2" t="str">
        <f>FlightOps[[#This Row],[Origin]]&amp;"-"&amp;FlightOps[[#This Row],[Destination]]</f>
        <v>Lahore-London</v>
      </c>
      <c r="F37" s="3">
        <v>46083.90625</v>
      </c>
      <c r="G37" s="26">
        <f>HOUR(FlightOps[[#This Row],[ScheduledDeparture]])</f>
        <v>21</v>
      </c>
      <c r="H37" s="22">
        <v>0</v>
      </c>
      <c r="I37" s="2" t="s">
        <v>35</v>
      </c>
      <c r="J37" s="2">
        <v>186</v>
      </c>
      <c r="K37" s="2">
        <v>117</v>
      </c>
      <c r="L37" s="19">
        <f>FlightOps[[#This Row],[SeatsSold]]/FlightOps[[#This Row],[SeatsAvailable]]</f>
        <v>0.62903225806451613</v>
      </c>
      <c r="M37" s="2" t="s">
        <v>25</v>
      </c>
      <c r="N37" s="4">
        <v>86291.38</v>
      </c>
      <c r="O37" s="24">
        <f>FlightOps[[#This Row],[SeatsSold]]*FlightOps[[#This Row],[AvgTicketPrice]]</f>
        <v>10096091.460000001</v>
      </c>
      <c r="P37" s="2" t="s">
        <v>18</v>
      </c>
    </row>
    <row r="38" spans="1:16" x14ac:dyDescent="0.25">
      <c r="A38" s="2" t="s">
        <v>68</v>
      </c>
      <c r="B38" s="2" t="s">
        <v>42</v>
      </c>
      <c r="C38" s="2" t="s">
        <v>14</v>
      </c>
      <c r="D38" s="2" t="s">
        <v>37</v>
      </c>
      <c r="E38" s="2" t="str">
        <f>FlightOps[[#This Row],[Origin]]&amp;"-"&amp;FlightOps[[#This Row],[Destination]]</f>
        <v>Karachi-Jeddah</v>
      </c>
      <c r="F38" s="3">
        <v>45933.541666666701</v>
      </c>
      <c r="G38" s="26">
        <f>HOUR(FlightOps[[#This Row],[ScheduledDeparture]])</f>
        <v>13</v>
      </c>
      <c r="H38" s="22">
        <v>0</v>
      </c>
      <c r="I38" s="2" t="s">
        <v>20</v>
      </c>
      <c r="J38" s="2">
        <v>72</v>
      </c>
      <c r="K38" s="2">
        <v>60</v>
      </c>
      <c r="L38" s="19">
        <f>FlightOps[[#This Row],[SeatsSold]]/FlightOps[[#This Row],[SeatsAvailable]]</f>
        <v>0.83333333333333337</v>
      </c>
      <c r="M38" s="2" t="s">
        <v>17</v>
      </c>
      <c r="N38" s="4">
        <v>34629.19</v>
      </c>
      <c r="O38" s="24">
        <f>FlightOps[[#This Row],[SeatsSold]]*FlightOps[[#This Row],[AvgTicketPrice]]</f>
        <v>2077751.4000000001</v>
      </c>
      <c r="P38" s="2" t="s">
        <v>18</v>
      </c>
    </row>
    <row r="39" spans="1:16" x14ac:dyDescent="0.25">
      <c r="A39" s="2" t="s">
        <v>69</v>
      </c>
      <c r="B39" s="2" t="s">
        <v>13</v>
      </c>
      <c r="C39" s="2" t="s">
        <v>24</v>
      </c>
      <c r="D39" s="2" t="s">
        <v>28</v>
      </c>
      <c r="E39" s="2" t="str">
        <f>FlightOps[[#This Row],[Origin]]&amp;"-"&amp;FlightOps[[#This Row],[Destination]]</f>
        <v>Lahore-London</v>
      </c>
      <c r="F39" s="3">
        <v>46143.375</v>
      </c>
      <c r="G39" s="26">
        <f>HOUR(FlightOps[[#This Row],[ScheduledDeparture]])</f>
        <v>9</v>
      </c>
      <c r="H39" s="22">
        <v>8</v>
      </c>
      <c r="I39" s="2" t="s">
        <v>31</v>
      </c>
      <c r="J39" s="2">
        <v>220</v>
      </c>
      <c r="K39" s="2">
        <v>184</v>
      </c>
      <c r="L39" s="19">
        <f>FlightOps[[#This Row],[SeatsSold]]/FlightOps[[#This Row],[SeatsAvailable]]</f>
        <v>0.83636363636363631</v>
      </c>
      <c r="M39" s="2" t="s">
        <v>17</v>
      </c>
      <c r="N39" s="4">
        <v>20647.62</v>
      </c>
      <c r="O39" s="24">
        <f>FlightOps[[#This Row],[SeatsSold]]*FlightOps[[#This Row],[AvgTicketPrice]]</f>
        <v>3799162.0799999996</v>
      </c>
      <c r="P39" s="2" t="s">
        <v>39</v>
      </c>
    </row>
    <row r="40" spans="1:16" x14ac:dyDescent="0.25">
      <c r="A40" s="2" t="s">
        <v>70</v>
      </c>
      <c r="B40" s="2" t="s">
        <v>13</v>
      </c>
      <c r="C40" s="2" t="s">
        <v>14</v>
      </c>
      <c r="D40" s="2" t="s">
        <v>30</v>
      </c>
      <c r="E40" s="2" t="str">
        <f>FlightOps[[#This Row],[Origin]]&amp;"-"&amp;FlightOps[[#This Row],[Destination]]</f>
        <v>Karachi-Dubai</v>
      </c>
      <c r="F40" s="3">
        <v>46089.927083333299</v>
      </c>
      <c r="G40" s="26">
        <f>HOUR(FlightOps[[#This Row],[ScheduledDeparture]])</f>
        <v>22</v>
      </c>
      <c r="H40" s="22">
        <v>42</v>
      </c>
      <c r="I40" s="2" t="s">
        <v>20</v>
      </c>
      <c r="J40" s="2">
        <v>72</v>
      </c>
      <c r="K40" s="2">
        <v>69</v>
      </c>
      <c r="L40" s="19">
        <f>FlightOps[[#This Row],[SeatsSold]]/FlightOps[[#This Row],[SeatsAvailable]]</f>
        <v>0.95833333333333337</v>
      </c>
      <c r="M40" s="2" t="s">
        <v>17</v>
      </c>
      <c r="N40" s="4">
        <v>9964.7000000000007</v>
      </c>
      <c r="O40" s="24">
        <f>FlightOps[[#This Row],[SeatsSold]]*FlightOps[[#This Row],[AvgTicketPrice]]</f>
        <v>687564.3</v>
      </c>
      <c r="P40" s="2" t="s">
        <v>39</v>
      </c>
    </row>
    <row r="41" spans="1:16" x14ac:dyDescent="0.25">
      <c r="A41" s="2" t="s">
        <v>71</v>
      </c>
      <c r="B41" s="2" t="s">
        <v>13</v>
      </c>
      <c r="C41" s="2" t="s">
        <v>14</v>
      </c>
      <c r="D41" s="2" t="s">
        <v>15</v>
      </c>
      <c r="E41" s="2" t="str">
        <f>FlightOps[[#This Row],[Origin]]&amp;"-"&amp;FlightOps[[#This Row],[Destination]]</f>
        <v>Karachi-Islamabad</v>
      </c>
      <c r="F41" s="3">
        <v>45947.510416666701</v>
      </c>
      <c r="G41" s="26">
        <f>HOUR(FlightOps[[#This Row],[ScheduledDeparture]])</f>
        <v>12</v>
      </c>
      <c r="H41" s="22">
        <v>39</v>
      </c>
      <c r="I41" s="2" t="s">
        <v>35</v>
      </c>
      <c r="J41" s="2">
        <v>186</v>
      </c>
      <c r="K41" s="2">
        <v>126</v>
      </c>
      <c r="L41" s="19">
        <f>FlightOps[[#This Row],[SeatsSold]]/FlightOps[[#This Row],[SeatsAvailable]]</f>
        <v>0.67741935483870963</v>
      </c>
      <c r="M41" s="2" t="s">
        <v>17</v>
      </c>
      <c r="N41" s="4">
        <v>49617.599999999999</v>
      </c>
      <c r="O41" s="24">
        <f>FlightOps[[#This Row],[SeatsSold]]*FlightOps[[#This Row],[AvgTicketPrice]]</f>
        <v>6251817.5999999996</v>
      </c>
      <c r="P41" s="2" t="s">
        <v>21</v>
      </c>
    </row>
    <row r="42" spans="1:16" x14ac:dyDescent="0.25">
      <c r="A42" s="2" t="s">
        <v>72</v>
      </c>
      <c r="B42" s="2" t="s">
        <v>33</v>
      </c>
      <c r="C42" s="2" t="s">
        <v>15</v>
      </c>
      <c r="D42" s="2" t="s">
        <v>37</v>
      </c>
      <c r="E42" s="2" t="str">
        <f>FlightOps[[#This Row],[Origin]]&amp;"-"&amp;FlightOps[[#This Row],[Destination]]</f>
        <v>Islamabad-Jeddah</v>
      </c>
      <c r="F42" s="3">
        <v>46142.729166666701</v>
      </c>
      <c r="G42" s="26">
        <f>HOUR(FlightOps[[#This Row],[ScheduledDeparture]])</f>
        <v>17</v>
      </c>
      <c r="H42" s="22">
        <v>36</v>
      </c>
      <c r="I42" s="2" t="s">
        <v>16</v>
      </c>
      <c r="J42" s="2">
        <v>180</v>
      </c>
      <c r="K42" s="2">
        <v>164</v>
      </c>
      <c r="L42" s="19">
        <f>FlightOps[[#This Row],[SeatsSold]]/FlightOps[[#This Row],[SeatsAvailable]]</f>
        <v>0.91111111111111109</v>
      </c>
      <c r="M42" s="2" t="s">
        <v>17</v>
      </c>
      <c r="N42" s="4">
        <v>14244.8</v>
      </c>
      <c r="O42" s="24">
        <f>FlightOps[[#This Row],[SeatsSold]]*FlightOps[[#This Row],[AvgTicketPrice]]</f>
        <v>2336147.1999999997</v>
      </c>
      <c r="P42" s="2" t="s">
        <v>39</v>
      </c>
    </row>
    <row r="43" spans="1:16" x14ac:dyDescent="0.25">
      <c r="A43" s="2" t="s">
        <v>73</v>
      </c>
      <c r="B43" s="2" t="s">
        <v>33</v>
      </c>
      <c r="C43" s="2" t="s">
        <v>24</v>
      </c>
      <c r="D43" s="2" t="s">
        <v>15</v>
      </c>
      <c r="E43" s="2" t="str">
        <f>FlightOps[[#This Row],[Origin]]&amp;"-"&amp;FlightOps[[#This Row],[Destination]]</f>
        <v>Lahore-Islamabad</v>
      </c>
      <c r="F43" s="3">
        <v>46141.21875</v>
      </c>
      <c r="G43" s="26">
        <f>HOUR(FlightOps[[#This Row],[ScheduledDeparture]])</f>
        <v>5</v>
      </c>
      <c r="H43" s="22">
        <v>3</v>
      </c>
      <c r="I43" s="2" t="s">
        <v>31</v>
      </c>
      <c r="J43" s="2">
        <v>220</v>
      </c>
      <c r="K43" s="2">
        <v>130</v>
      </c>
      <c r="L43" s="19">
        <f>FlightOps[[#This Row],[SeatsSold]]/FlightOps[[#This Row],[SeatsAvailable]]</f>
        <v>0.59090909090909094</v>
      </c>
      <c r="M43" s="2" t="s">
        <v>25</v>
      </c>
      <c r="N43" s="4">
        <v>136506.42000000001</v>
      </c>
      <c r="O43" s="24">
        <f>FlightOps[[#This Row],[SeatsSold]]*FlightOps[[#This Row],[AvgTicketPrice]]</f>
        <v>17745834.600000001</v>
      </c>
      <c r="P43" s="2" t="s">
        <v>21</v>
      </c>
    </row>
    <row r="44" spans="1:16" x14ac:dyDescent="0.25">
      <c r="A44" s="2" t="s">
        <v>74</v>
      </c>
      <c r="B44" s="2" t="s">
        <v>42</v>
      </c>
      <c r="C44" s="2" t="s">
        <v>15</v>
      </c>
      <c r="D44" s="2" t="s">
        <v>37</v>
      </c>
      <c r="E44" s="2" t="str">
        <f>FlightOps[[#This Row],[Origin]]&amp;"-"&amp;FlightOps[[#This Row],[Destination]]</f>
        <v>Islamabad-Jeddah</v>
      </c>
      <c r="F44" s="3">
        <v>45844.604166666701</v>
      </c>
      <c r="G44" s="26">
        <f>HOUR(FlightOps[[#This Row],[ScheduledDeparture]])</f>
        <v>14</v>
      </c>
      <c r="H44" s="22">
        <v>10</v>
      </c>
      <c r="I44" s="2" t="s">
        <v>16</v>
      </c>
      <c r="J44" s="2">
        <v>180</v>
      </c>
      <c r="K44" s="2">
        <v>165</v>
      </c>
      <c r="L44" s="19">
        <f>FlightOps[[#This Row],[SeatsSold]]/FlightOps[[#This Row],[SeatsAvailable]]</f>
        <v>0.91666666666666663</v>
      </c>
      <c r="M44" s="2" t="s">
        <v>17</v>
      </c>
      <c r="N44" s="4">
        <v>56815.9</v>
      </c>
      <c r="O44" s="24">
        <f>FlightOps[[#This Row],[SeatsSold]]*FlightOps[[#This Row],[AvgTicketPrice]]</f>
        <v>9374623.5</v>
      </c>
      <c r="P44" s="2" t="s">
        <v>39</v>
      </c>
    </row>
    <row r="45" spans="1:16" x14ac:dyDescent="0.25">
      <c r="A45" s="2" t="s">
        <v>75</v>
      </c>
      <c r="B45" s="2" t="s">
        <v>33</v>
      </c>
      <c r="C45" s="2" t="s">
        <v>24</v>
      </c>
      <c r="D45" s="2" t="s">
        <v>15</v>
      </c>
      <c r="E45" s="2" t="str">
        <f>FlightOps[[#This Row],[Origin]]&amp;"-"&amp;FlightOps[[#This Row],[Destination]]</f>
        <v>Lahore-Islamabad</v>
      </c>
      <c r="F45" s="3">
        <v>46113.65625</v>
      </c>
      <c r="G45" s="26">
        <f>HOUR(FlightOps[[#This Row],[ScheduledDeparture]])</f>
        <v>15</v>
      </c>
      <c r="H45" s="22">
        <v>39</v>
      </c>
      <c r="I45" s="2" t="s">
        <v>20</v>
      </c>
      <c r="J45" s="2">
        <v>72</v>
      </c>
      <c r="K45" s="2">
        <v>50</v>
      </c>
      <c r="L45" s="19">
        <f>FlightOps[[#This Row],[SeatsSold]]/FlightOps[[#This Row],[SeatsAvailable]]</f>
        <v>0.69444444444444442</v>
      </c>
      <c r="M45" s="2" t="s">
        <v>25</v>
      </c>
      <c r="N45" s="4">
        <v>70371.88</v>
      </c>
      <c r="O45" s="24">
        <f>FlightOps[[#This Row],[SeatsSold]]*FlightOps[[#This Row],[AvgTicketPrice]]</f>
        <v>3518594</v>
      </c>
      <c r="P45" s="2" t="s">
        <v>26</v>
      </c>
    </row>
    <row r="46" spans="1:16" x14ac:dyDescent="0.25">
      <c r="A46" s="2" t="s">
        <v>76</v>
      </c>
      <c r="B46" s="2" t="s">
        <v>23</v>
      </c>
      <c r="C46" s="2" t="s">
        <v>15</v>
      </c>
      <c r="D46" s="2" t="s">
        <v>37</v>
      </c>
      <c r="E46" s="2" t="str">
        <f>FlightOps[[#This Row],[Origin]]&amp;"-"&amp;FlightOps[[#This Row],[Destination]]</f>
        <v>Islamabad-Jeddah</v>
      </c>
      <c r="F46" s="3">
        <v>46068.427083333299</v>
      </c>
      <c r="G46" s="26">
        <f>HOUR(FlightOps[[#This Row],[ScheduledDeparture]])</f>
        <v>10</v>
      </c>
      <c r="H46" s="22">
        <v>42</v>
      </c>
      <c r="I46" s="2" t="s">
        <v>35</v>
      </c>
      <c r="J46" s="2">
        <v>186</v>
      </c>
      <c r="K46" s="2">
        <v>130</v>
      </c>
      <c r="L46" s="19">
        <f>FlightOps[[#This Row],[SeatsSold]]/FlightOps[[#This Row],[SeatsAvailable]]</f>
        <v>0.69892473118279574</v>
      </c>
      <c r="M46" s="2" t="s">
        <v>25</v>
      </c>
      <c r="N46" s="4">
        <v>145893.88</v>
      </c>
      <c r="O46" s="24">
        <f>FlightOps[[#This Row],[SeatsSold]]*FlightOps[[#This Row],[AvgTicketPrice]]</f>
        <v>18966204.400000002</v>
      </c>
      <c r="P46" s="2" t="s">
        <v>49</v>
      </c>
    </row>
    <row r="47" spans="1:16" x14ac:dyDescent="0.25">
      <c r="A47" s="2" t="s">
        <v>77</v>
      </c>
      <c r="B47" s="2" t="s">
        <v>13</v>
      </c>
      <c r="C47" s="2" t="s">
        <v>24</v>
      </c>
      <c r="D47" s="2" t="s">
        <v>30</v>
      </c>
      <c r="E47" s="2" t="str">
        <f>FlightOps[[#This Row],[Origin]]&amp;"-"&amp;FlightOps[[#This Row],[Destination]]</f>
        <v>Lahore-Dubai</v>
      </c>
      <c r="F47" s="3">
        <v>46040.697916666701</v>
      </c>
      <c r="G47" s="26">
        <f>HOUR(FlightOps[[#This Row],[ScheduledDeparture]])</f>
        <v>16</v>
      </c>
      <c r="H47" s="22">
        <v>0</v>
      </c>
      <c r="I47" s="2" t="s">
        <v>35</v>
      </c>
      <c r="J47" s="2">
        <v>186</v>
      </c>
      <c r="K47" s="2">
        <v>93</v>
      </c>
      <c r="L47" s="19">
        <f>FlightOps[[#This Row],[SeatsSold]]/FlightOps[[#This Row],[SeatsAvailable]]</f>
        <v>0.5</v>
      </c>
      <c r="M47" s="2" t="s">
        <v>25</v>
      </c>
      <c r="N47" s="4">
        <v>135320.31</v>
      </c>
      <c r="O47" s="24">
        <f>FlightOps[[#This Row],[SeatsSold]]*FlightOps[[#This Row],[AvgTicketPrice]]</f>
        <v>12584788.83</v>
      </c>
      <c r="P47" s="2" t="s">
        <v>18</v>
      </c>
    </row>
    <row r="48" spans="1:16" x14ac:dyDescent="0.25">
      <c r="A48" s="2" t="s">
        <v>78</v>
      </c>
      <c r="B48" s="2" t="s">
        <v>23</v>
      </c>
      <c r="C48" s="2" t="s">
        <v>14</v>
      </c>
      <c r="D48" s="2" t="s">
        <v>37</v>
      </c>
      <c r="E48" s="2" t="str">
        <f>FlightOps[[#This Row],[Origin]]&amp;"-"&amp;FlightOps[[#This Row],[Destination]]</f>
        <v>Karachi-Jeddah</v>
      </c>
      <c r="F48" s="3">
        <v>45885.260416666701</v>
      </c>
      <c r="G48" s="26">
        <f>HOUR(FlightOps[[#This Row],[ScheduledDeparture]])</f>
        <v>6</v>
      </c>
      <c r="H48" s="22">
        <v>0</v>
      </c>
      <c r="I48" s="2" t="s">
        <v>20</v>
      </c>
      <c r="J48" s="2">
        <v>72</v>
      </c>
      <c r="K48" s="2">
        <v>40</v>
      </c>
      <c r="L48" s="19">
        <f>FlightOps[[#This Row],[SeatsSold]]/FlightOps[[#This Row],[SeatsAvailable]]</f>
        <v>0.55555555555555558</v>
      </c>
      <c r="M48" s="2" t="s">
        <v>17</v>
      </c>
      <c r="N48" s="4">
        <v>36375.93</v>
      </c>
      <c r="O48" s="24">
        <f>FlightOps[[#This Row],[SeatsSold]]*FlightOps[[#This Row],[AvgTicketPrice]]</f>
        <v>1455037.2</v>
      </c>
      <c r="P48" s="2" t="s">
        <v>18</v>
      </c>
    </row>
    <row r="49" spans="1:16" x14ac:dyDescent="0.25">
      <c r="A49" s="2" t="s">
        <v>79</v>
      </c>
      <c r="B49" s="2" t="s">
        <v>23</v>
      </c>
      <c r="C49" s="2" t="s">
        <v>24</v>
      </c>
      <c r="D49" s="2" t="s">
        <v>15</v>
      </c>
      <c r="E49" s="2" t="str">
        <f>FlightOps[[#This Row],[Origin]]&amp;"-"&amp;FlightOps[[#This Row],[Destination]]</f>
        <v>Lahore-Islamabad</v>
      </c>
      <c r="F49" s="3">
        <v>46099.59375</v>
      </c>
      <c r="G49" s="26">
        <f>HOUR(FlightOps[[#This Row],[ScheduledDeparture]])</f>
        <v>14</v>
      </c>
      <c r="H49" s="22">
        <v>26</v>
      </c>
      <c r="I49" s="2" t="s">
        <v>31</v>
      </c>
      <c r="J49" s="2">
        <v>220</v>
      </c>
      <c r="K49" s="2">
        <v>169</v>
      </c>
      <c r="L49" s="19">
        <f>FlightOps[[#This Row],[SeatsSold]]/FlightOps[[#This Row],[SeatsAvailable]]</f>
        <v>0.76818181818181819</v>
      </c>
      <c r="M49" s="2" t="s">
        <v>17</v>
      </c>
      <c r="N49" s="4">
        <v>13129.49</v>
      </c>
      <c r="O49" s="24">
        <f>FlightOps[[#This Row],[SeatsSold]]*FlightOps[[#This Row],[AvgTicketPrice]]</f>
        <v>2218883.81</v>
      </c>
      <c r="P49" s="2" t="s">
        <v>26</v>
      </c>
    </row>
    <row r="50" spans="1:16" x14ac:dyDescent="0.25">
      <c r="A50" s="2" t="s">
        <v>80</v>
      </c>
      <c r="B50" s="2" t="s">
        <v>42</v>
      </c>
      <c r="C50" s="2" t="s">
        <v>14</v>
      </c>
      <c r="D50" s="2" t="s">
        <v>15</v>
      </c>
      <c r="E50" s="2" t="str">
        <f>FlightOps[[#This Row],[Origin]]&amp;"-"&amp;FlightOps[[#This Row],[Destination]]</f>
        <v>Karachi-Islamabad</v>
      </c>
      <c r="F50" s="3">
        <v>46115.979166666701</v>
      </c>
      <c r="G50" s="26">
        <f>HOUR(FlightOps[[#This Row],[ScheduledDeparture]])</f>
        <v>23</v>
      </c>
      <c r="H50" s="22">
        <v>44</v>
      </c>
      <c r="I50" s="2" t="s">
        <v>35</v>
      </c>
      <c r="J50" s="2">
        <v>186</v>
      </c>
      <c r="K50" s="2">
        <v>167</v>
      </c>
      <c r="L50" s="19">
        <f>FlightOps[[#This Row],[SeatsSold]]/FlightOps[[#This Row],[SeatsAvailable]]</f>
        <v>0.89784946236559138</v>
      </c>
      <c r="M50" s="2" t="s">
        <v>17</v>
      </c>
      <c r="N50" s="4">
        <v>41748.65</v>
      </c>
      <c r="O50" s="24">
        <f>FlightOps[[#This Row],[SeatsSold]]*FlightOps[[#This Row],[AvgTicketPrice]]</f>
        <v>6972024.5499999998</v>
      </c>
      <c r="P50" s="2" t="s">
        <v>26</v>
      </c>
    </row>
    <row r="51" spans="1:16" x14ac:dyDescent="0.25">
      <c r="A51" s="2" t="s">
        <v>81</v>
      </c>
      <c r="B51" s="2" t="s">
        <v>23</v>
      </c>
      <c r="C51" s="2" t="s">
        <v>14</v>
      </c>
      <c r="D51" s="2" t="s">
        <v>37</v>
      </c>
      <c r="E51" s="2" t="str">
        <f>FlightOps[[#This Row],[Origin]]&amp;"-"&amp;FlightOps[[#This Row],[Destination]]</f>
        <v>Karachi-Jeddah</v>
      </c>
      <c r="F51" s="3">
        <v>46099.208333333299</v>
      </c>
      <c r="G51" s="26">
        <f>HOUR(FlightOps[[#This Row],[ScheduledDeparture]])</f>
        <v>5</v>
      </c>
      <c r="H51" s="22">
        <v>11</v>
      </c>
      <c r="I51" s="2" t="s">
        <v>35</v>
      </c>
      <c r="J51" s="2">
        <v>186</v>
      </c>
      <c r="K51" s="2">
        <v>132</v>
      </c>
      <c r="L51" s="19">
        <f>FlightOps[[#This Row],[SeatsSold]]/FlightOps[[#This Row],[SeatsAvailable]]</f>
        <v>0.70967741935483875</v>
      </c>
      <c r="M51" s="2" t="s">
        <v>17</v>
      </c>
      <c r="N51" s="4">
        <v>22573.83</v>
      </c>
      <c r="O51" s="24">
        <f>FlightOps[[#This Row],[SeatsSold]]*FlightOps[[#This Row],[AvgTicketPrice]]</f>
        <v>2979745.56</v>
      </c>
      <c r="P51" s="2" t="s">
        <v>49</v>
      </c>
    </row>
    <row r="52" spans="1:16" x14ac:dyDescent="0.25">
      <c r="A52" s="2" t="s">
        <v>82</v>
      </c>
      <c r="B52" s="2" t="s">
        <v>23</v>
      </c>
      <c r="C52" s="2" t="s">
        <v>15</v>
      </c>
      <c r="D52" s="2" t="s">
        <v>37</v>
      </c>
      <c r="E52" s="2" t="str">
        <f>FlightOps[[#This Row],[Origin]]&amp;"-"&amp;FlightOps[[#This Row],[Destination]]</f>
        <v>Islamabad-Jeddah</v>
      </c>
      <c r="F52" s="3">
        <v>46021.760416666701</v>
      </c>
      <c r="G52" s="26">
        <f>HOUR(FlightOps[[#This Row],[ScheduledDeparture]])</f>
        <v>18</v>
      </c>
      <c r="H52" s="22">
        <v>0</v>
      </c>
      <c r="I52" s="2" t="s">
        <v>20</v>
      </c>
      <c r="J52" s="2">
        <v>72</v>
      </c>
      <c r="K52" s="2">
        <v>65</v>
      </c>
      <c r="L52" s="19">
        <f>FlightOps[[#This Row],[SeatsSold]]/FlightOps[[#This Row],[SeatsAvailable]]</f>
        <v>0.90277777777777779</v>
      </c>
      <c r="M52" s="2" t="s">
        <v>25</v>
      </c>
      <c r="N52" s="4">
        <v>47679.26</v>
      </c>
      <c r="O52" s="24">
        <f>FlightOps[[#This Row],[SeatsSold]]*FlightOps[[#This Row],[AvgTicketPrice]]</f>
        <v>3099151.9</v>
      </c>
      <c r="P52" s="2" t="s">
        <v>18</v>
      </c>
    </row>
    <row r="53" spans="1:16" x14ac:dyDescent="0.25">
      <c r="A53" s="2" t="s">
        <v>83</v>
      </c>
      <c r="B53" s="2" t="s">
        <v>42</v>
      </c>
      <c r="C53" s="2" t="s">
        <v>14</v>
      </c>
      <c r="D53" s="2" t="s">
        <v>37</v>
      </c>
      <c r="E53" s="2" t="str">
        <f>FlightOps[[#This Row],[Origin]]&amp;"-"&amp;FlightOps[[#This Row],[Destination]]</f>
        <v>Karachi-Jeddah</v>
      </c>
      <c r="F53" s="3">
        <v>45924.385416666701</v>
      </c>
      <c r="G53" s="26">
        <f>HOUR(FlightOps[[#This Row],[ScheduledDeparture]])</f>
        <v>9</v>
      </c>
      <c r="H53" s="22">
        <v>0</v>
      </c>
      <c r="I53" s="2" t="s">
        <v>35</v>
      </c>
      <c r="J53" s="2">
        <v>186</v>
      </c>
      <c r="K53" s="2">
        <v>79</v>
      </c>
      <c r="L53" s="19">
        <f>FlightOps[[#This Row],[SeatsSold]]/FlightOps[[#This Row],[SeatsAvailable]]</f>
        <v>0.42473118279569894</v>
      </c>
      <c r="M53" s="2" t="s">
        <v>25</v>
      </c>
      <c r="N53" s="4">
        <v>125680.61</v>
      </c>
      <c r="O53" s="24">
        <f>FlightOps[[#This Row],[SeatsSold]]*FlightOps[[#This Row],[AvgTicketPrice]]</f>
        <v>9928768.1899999995</v>
      </c>
      <c r="P53" s="2" t="s">
        <v>18</v>
      </c>
    </row>
    <row r="54" spans="1:16" x14ac:dyDescent="0.25">
      <c r="A54" s="2" t="s">
        <v>84</v>
      </c>
      <c r="B54" s="2" t="s">
        <v>13</v>
      </c>
      <c r="C54" s="2" t="s">
        <v>14</v>
      </c>
      <c r="D54" s="2" t="s">
        <v>37</v>
      </c>
      <c r="E54" s="2" t="str">
        <f>FlightOps[[#This Row],[Origin]]&amp;"-"&amp;FlightOps[[#This Row],[Destination]]</f>
        <v>Karachi-Jeddah</v>
      </c>
      <c r="F54" s="3">
        <v>46130.21875</v>
      </c>
      <c r="G54" s="26">
        <f>HOUR(FlightOps[[#This Row],[ScheduledDeparture]])</f>
        <v>5</v>
      </c>
      <c r="H54" s="22">
        <v>0</v>
      </c>
      <c r="I54" s="2" t="s">
        <v>35</v>
      </c>
      <c r="J54" s="2">
        <v>186</v>
      </c>
      <c r="K54" s="2">
        <v>179</v>
      </c>
      <c r="L54" s="19">
        <f>FlightOps[[#This Row],[SeatsSold]]/FlightOps[[#This Row],[SeatsAvailable]]</f>
        <v>0.9623655913978495</v>
      </c>
      <c r="M54" s="2" t="s">
        <v>25</v>
      </c>
      <c r="N54" s="4">
        <v>65488.79</v>
      </c>
      <c r="O54" s="24">
        <f>FlightOps[[#This Row],[SeatsSold]]*FlightOps[[#This Row],[AvgTicketPrice]]</f>
        <v>11722493.41</v>
      </c>
      <c r="P54" s="2" t="s">
        <v>18</v>
      </c>
    </row>
    <row r="55" spans="1:16" x14ac:dyDescent="0.25">
      <c r="A55" s="2" t="s">
        <v>85</v>
      </c>
      <c r="B55" s="2" t="s">
        <v>13</v>
      </c>
      <c r="C55" s="2" t="s">
        <v>14</v>
      </c>
      <c r="D55" s="2" t="s">
        <v>15</v>
      </c>
      <c r="E55" s="2" t="str">
        <f>FlightOps[[#This Row],[Origin]]&amp;"-"&amp;FlightOps[[#This Row],[Destination]]</f>
        <v>Karachi-Islamabad</v>
      </c>
      <c r="F55" s="3">
        <v>46151.239583333299</v>
      </c>
      <c r="G55" s="26">
        <f>HOUR(FlightOps[[#This Row],[ScheduledDeparture]])</f>
        <v>5</v>
      </c>
      <c r="H55" s="22">
        <v>0</v>
      </c>
      <c r="I55" s="2" t="s">
        <v>20</v>
      </c>
      <c r="J55" s="2">
        <v>72</v>
      </c>
      <c r="K55" s="2">
        <v>26</v>
      </c>
      <c r="L55" s="19">
        <f>FlightOps[[#This Row],[SeatsSold]]/FlightOps[[#This Row],[SeatsAvailable]]</f>
        <v>0.3611111111111111</v>
      </c>
      <c r="M55" s="2" t="s">
        <v>25</v>
      </c>
      <c r="N55" s="4">
        <v>47641.27</v>
      </c>
      <c r="O55" s="24">
        <f>FlightOps[[#This Row],[SeatsSold]]*FlightOps[[#This Row],[AvgTicketPrice]]</f>
        <v>1238673.02</v>
      </c>
      <c r="P55" s="2" t="s">
        <v>18</v>
      </c>
    </row>
    <row r="56" spans="1:16" x14ac:dyDescent="0.25">
      <c r="A56" s="2" t="s">
        <v>86</v>
      </c>
      <c r="B56" s="2" t="s">
        <v>23</v>
      </c>
      <c r="C56" s="2" t="s">
        <v>24</v>
      </c>
      <c r="D56" s="2" t="s">
        <v>28</v>
      </c>
      <c r="E56" s="2" t="str">
        <f>FlightOps[[#This Row],[Origin]]&amp;"-"&amp;FlightOps[[#This Row],[Destination]]</f>
        <v>Lahore-London</v>
      </c>
      <c r="F56" s="3">
        <v>46098.416666666701</v>
      </c>
      <c r="G56" s="26">
        <f>HOUR(FlightOps[[#This Row],[ScheduledDeparture]])</f>
        <v>10</v>
      </c>
      <c r="H56" s="22">
        <v>0</v>
      </c>
      <c r="I56" s="2" t="s">
        <v>20</v>
      </c>
      <c r="J56" s="2">
        <v>72</v>
      </c>
      <c r="K56" s="2">
        <v>50</v>
      </c>
      <c r="L56" s="19">
        <f>FlightOps[[#This Row],[SeatsSold]]/FlightOps[[#This Row],[SeatsAvailable]]</f>
        <v>0.69444444444444442</v>
      </c>
      <c r="M56" s="2" t="s">
        <v>25</v>
      </c>
      <c r="N56" s="4">
        <v>117709.96</v>
      </c>
      <c r="O56" s="24">
        <f>FlightOps[[#This Row],[SeatsSold]]*FlightOps[[#This Row],[AvgTicketPrice]]</f>
        <v>5885498</v>
      </c>
      <c r="P56" s="2" t="s">
        <v>18</v>
      </c>
    </row>
    <row r="57" spans="1:16" x14ac:dyDescent="0.25">
      <c r="A57" s="2" t="s">
        <v>87</v>
      </c>
      <c r="B57" s="2" t="s">
        <v>23</v>
      </c>
      <c r="C57" s="2" t="s">
        <v>24</v>
      </c>
      <c r="D57" s="2" t="s">
        <v>15</v>
      </c>
      <c r="E57" s="2" t="str">
        <f>FlightOps[[#This Row],[Origin]]&amp;"-"&amp;FlightOps[[#This Row],[Destination]]</f>
        <v>Lahore-Islamabad</v>
      </c>
      <c r="F57" s="3">
        <v>46114.833333333299</v>
      </c>
      <c r="G57" s="26">
        <f>HOUR(FlightOps[[#This Row],[ScheduledDeparture]])</f>
        <v>20</v>
      </c>
      <c r="H57" s="22">
        <v>41</v>
      </c>
      <c r="I57" s="2" t="s">
        <v>16</v>
      </c>
      <c r="J57" s="2">
        <v>180</v>
      </c>
      <c r="K57" s="2">
        <v>90</v>
      </c>
      <c r="L57" s="19">
        <f>FlightOps[[#This Row],[SeatsSold]]/FlightOps[[#This Row],[SeatsAvailable]]</f>
        <v>0.5</v>
      </c>
      <c r="M57" s="2" t="s">
        <v>25</v>
      </c>
      <c r="N57" s="4">
        <v>54486.48</v>
      </c>
      <c r="O57" s="24">
        <f>FlightOps[[#This Row],[SeatsSold]]*FlightOps[[#This Row],[AvgTicketPrice]]</f>
        <v>4903783.2</v>
      </c>
      <c r="P57" s="2" t="s">
        <v>26</v>
      </c>
    </row>
    <row r="58" spans="1:16" x14ac:dyDescent="0.25">
      <c r="A58" s="2" t="s">
        <v>88</v>
      </c>
      <c r="B58" s="2" t="s">
        <v>13</v>
      </c>
      <c r="C58" s="2" t="s">
        <v>14</v>
      </c>
      <c r="D58" s="2" t="s">
        <v>37</v>
      </c>
      <c r="E58" s="2" t="str">
        <f>FlightOps[[#This Row],[Origin]]&amp;"-"&amp;FlightOps[[#This Row],[Destination]]</f>
        <v>Karachi-Jeddah</v>
      </c>
      <c r="F58" s="3">
        <v>46167.322916666701</v>
      </c>
      <c r="G58" s="26">
        <f>HOUR(FlightOps[[#This Row],[ScheduledDeparture]])</f>
        <v>7</v>
      </c>
      <c r="H58" s="22">
        <v>0</v>
      </c>
      <c r="I58" s="2" t="s">
        <v>31</v>
      </c>
      <c r="J58" s="2">
        <v>220</v>
      </c>
      <c r="K58" s="2">
        <v>136</v>
      </c>
      <c r="L58" s="19">
        <f>FlightOps[[#This Row],[SeatsSold]]/FlightOps[[#This Row],[SeatsAvailable]]</f>
        <v>0.61818181818181817</v>
      </c>
      <c r="M58" s="2" t="s">
        <v>25</v>
      </c>
      <c r="N58" s="4">
        <v>110176.26</v>
      </c>
      <c r="O58" s="24">
        <f>FlightOps[[#This Row],[SeatsSold]]*FlightOps[[#This Row],[AvgTicketPrice]]</f>
        <v>14983971.359999999</v>
      </c>
      <c r="P58" s="2" t="s">
        <v>18</v>
      </c>
    </row>
    <row r="59" spans="1:16" x14ac:dyDescent="0.25">
      <c r="A59" s="2" t="s">
        <v>89</v>
      </c>
      <c r="B59" s="2" t="s">
        <v>42</v>
      </c>
      <c r="C59" s="2" t="s">
        <v>14</v>
      </c>
      <c r="D59" s="2" t="s">
        <v>30</v>
      </c>
      <c r="E59" s="2" t="str">
        <f>FlightOps[[#This Row],[Origin]]&amp;"-"&amp;FlightOps[[#This Row],[Destination]]</f>
        <v>Karachi-Dubai</v>
      </c>
      <c r="F59" s="3">
        <v>45876.385416666701</v>
      </c>
      <c r="G59" s="26">
        <f>HOUR(FlightOps[[#This Row],[ScheduledDeparture]])</f>
        <v>9</v>
      </c>
      <c r="H59" s="22">
        <v>0</v>
      </c>
      <c r="I59" s="2" t="s">
        <v>20</v>
      </c>
      <c r="J59" s="2">
        <v>72</v>
      </c>
      <c r="K59" s="2">
        <v>51</v>
      </c>
      <c r="L59" s="19">
        <f>FlightOps[[#This Row],[SeatsSold]]/FlightOps[[#This Row],[SeatsAvailable]]</f>
        <v>0.70833333333333337</v>
      </c>
      <c r="M59" s="2" t="s">
        <v>17</v>
      </c>
      <c r="N59" s="4">
        <v>31394.95</v>
      </c>
      <c r="O59" s="24">
        <f>FlightOps[[#This Row],[SeatsSold]]*FlightOps[[#This Row],[AvgTicketPrice]]</f>
        <v>1601142.45</v>
      </c>
      <c r="P59" s="2" t="s">
        <v>18</v>
      </c>
    </row>
    <row r="60" spans="1:16" x14ac:dyDescent="0.25">
      <c r="A60" s="2" t="s">
        <v>90</v>
      </c>
      <c r="B60" s="2" t="s">
        <v>42</v>
      </c>
      <c r="C60" s="2" t="s">
        <v>14</v>
      </c>
      <c r="D60" s="2" t="s">
        <v>24</v>
      </c>
      <c r="E60" s="2" t="str">
        <f>FlightOps[[#This Row],[Origin]]&amp;"-"&amp;FlightOps[[#This Row],[Destination]]</f>
        <v>Karachi-Lahore</v>
      </c>
      <c r="F60" s="3">
        <v>46116.84375</v>
      </c>
      <c r="G60" s="26">
        <f>HOUR(FlightOps[[#This Row],[ScheduledDeparture]])</f>
        <v>20</v>
      </c>
      <c r="H60" s="22">
        <v>4</v>
      </c>
      <c r="I60" s="2" t="s">
        <v>16</v>
      </c>
      <c r="J60" s="2">
        <v>180</v>
      </c>
      <c r="K60" s="2">
        <v>141</v>
      </c>
      <c r="L60" s="19">
        <f>FlightOps[[#This Row],[SeatsSold]]/FlightOps[[#This Row],[SeatsAvailable]]</f>
        <v>0.78333333333333333</v>
      </c>
      <c r="M60" s="2" t="s">
        <v>17</v>
      </c>
      <c r="N60" s="4">
        <v>49029.64</v>
      </c>
      <c r="O60" s="24">
        <f>FlightOps[[#This Row],[SeatsSold]]*FlightOps[[#This Row],[AvgTicketPrice]]</f>
        <v>6913179.2400000002</v>
      </c>
      <c r="P60" s="2" t="s">
        <v>26</v>
      </c>
    </row>
    <row r="61" spans="1:16" x14ac:dyDescent="0.25">
      <c r="A61" s="2" t="s">
        <v>91</v>
      </c>
      <c r="B61" s="2" t="s">
        <v>33</v>
      </c>
      <c r="C61" s="2" t="s">
        <v>14</v>
      </c>
      <c r="D61" s="2" t="s">
        <v>37</v>
      </c>
      <c r="E61" s="2" t="str">
        <f>FlightOps[[#This Row],[Origin]]&amp;"-"&amp;FlightOps[[#This Row],[Destination]]</f>
        <v>Karachi-Jeddah</v>
      </c>
      <c r="F61" s="3">
        <v>46024.208333333299</v>
      </c>
      <c r="G61" s="26">
        <f>HOUR(FlightOps[[#This Row],[ScheduledDeparture]])</f>
        <v>5</v>
      </c>
      <c r="H61" s="22">
        <v>41</v>
      </c>
      <c r="I61" s="2" t="s">
        <v>16</v>
      </c>
      <c r="J61" s="2">
        <v>180</v>
      </c>
      <c r="K61" s="2">
        <v>119</v>
      </c>
      <c r="L61" s="19">
        <f>FlightOps[[#This Row],[SeatsSold]]/FlightOps[[#This Row],[SeatsAvailable]]</f>
        <v>0.66111111111111109</v>
      </c>
      <c r="M61" s="2" t="s">
        <v>25</v>
      </c>
      <c r="N61" s="4">
        <v>133823.71</v>
      </c>
      <c r="O61" s="24">
        <f>FlightOps[[#This Row],[SeatsSold]]*FlightOps[[#This Row],[AvgTicketPrice]]</f>
        <v>15925021.489999998</v>
      </c>
      <c r="P61" s="2" t="s">
        <v>26</v>
      </c>
    </row>
    <row r="62" spans="1:16" x14ac:dyDescent="0.25">
      <c r="A62" s="2" t="s">
        <v>92</v>
      </c>
      <c r="B62" s="2" t="s">
        <v>42</v>
      </c>
      <c r="C62" s="2" t="s">
        <v>14</v>
      </c>
      <c r="D62" s="2" t="s">
        <v>30</v>
      </c>
      <c r="E62" s="2" t="str">
        <f>FlightOps[[#This Row],[Origin]]&amp;"-"&amp;FlightOps[[#This Row],[Destination]]</f>
        <v>Karachi-Dubai</v>
      </c>
      <c r="F62" s="3">
        <v>46079.875</v>
      </c>
      <c r="G62" s="26">
        <f>HOUR(FlightOps[[#This Row],[ScheduledDeparture]])</f>
        <v>21</v>
      </c>
      <c r="H62" s="22">
        <v>64</v>
      </c>
      <c r="I62" s="2" t="s">
        <v>31</v>
      </c>
      <c r="J62" s="2">
        <v>220</v>
      </c>
      <c r="K62" s="2">
        <v>205</v>
      </c>
      <c r="L62" s="19">
        <f>FlightOps[[#This Row],[SeatsSold]]/FlightOps[[#This Row],[SeatsAvailable]]</f>
        <v>0.93181818181818177</v>
      </c>
      <c r="M62" s="2" t="s">
        <v>17</v>
      </c>
      <c r="N62" s="4">
        <v>39780.5</v>
      </c>
      <c r="O62" s="24">
        <f>FlightOps[[#This Row],[SeatsSold]]*FlightOps[[#This Row],[AvgTicketPrice]]</f>
        <v>8155002.5</v>
      </c>
      <c r="P62" s="2" t="s">
        <v>39</v>
      </c>
    </row>
    <row r="63" spans="1:16" x14ac:dyDescent="0.25">
      <c r="A63" s="2" t="s">
        <v>93</v>
      </c>
      <c r="B63" s="2" t="s">
        <v>13</v>
      </c>
      <c r="C63" s="2" t="s">
        <v>14</v>
      </c>
      <c r="D63" s="2" t="s">
        <v>15</v>
      </c>
      <c r="E63" s="2" t="str">
        <f>FlightOps[[#This Row],[Origin]]&amp;"-"&amp;FlightOps[[#This Row],[Destination]]</f>
        <v>Karachi-Islamabad</v>
      </c>
      <c r="F63" s="3">
        <v>46036.40625</v>
      </c>
      <c r="G63" s="26">
        <f>HOUR(FlightOps[[#This Row],[ScheduledDeparture]])</f>
        <v>9</v>
      </c>
      <c r="H63" s="22">
        <v>0</v>
      </c>
      <c r="I63" s="2" t="s">
        <v>20</v>
      </c>
      <c r="J63" s="2">
        <v>72</v>
      </c>
      <c r="K63" s="2">
        <v>34</v>
      </c>
      <c r="L63" s="19">
        <f>FlightOps[[#This Row],[SeatsSold]]/FlightOps[[#This Row],[SeatsAvailable]]</f>
        <v>0.47222222222222221</v>
      </c>
      <c r="M63" s="2" t="s">
        <v>17</v>
      </c>
      <c r="N63" s="4">
        <v>23426.27</v>
      </c>
      <c r="O63" s="24">
        <f>FlightOps[[#This Row],[SeatsSold]]*FlightOps[[#This Row],[AvgTicketPrice]]</f>
        <v>796493.18</v>
      </c>
      <c r="P63" s="2" t="s">
        <v>18</v>
      </c>
    </row>
    <row r="64" spans="1:16" x14ac:dyDescent="0.25">
      <c r="A64" s="2" t="s">
        <v>94</v>
      </c>
      <c r="B64" s="2" t="s">
        <v>13</v>
      </c>
      <c r="C64" s="2" t="s">
        <v>14</v>
      </c>
      <c r="D64" s="2" t="s">
        <v>15</v>
      </c>
      <c r="E64" s="2" t="str">
        <f>FlightOps[[#This Row],[Origin]]&amp;"-"&amp;FlightOps[[#This Row],[Destination]]</f>
        <v>Karachi-Islamabad</v>
      </c>
      <c r="F64" s="3">
        <v>45956.604166666701</v>
      </c>
      <c r="G64" s="26">
        <f>HOUR(FlightOps[[#This Row],[ScheduledDeparture]])</f>
        <v>14</v>
      </c>
      <c r="H64" s="22">
        <v>35</v>
      </c>
      <c r="I64" s="2" t="s">
        <v>35</v>
      </c>
      <c r="J64" s="2">
        <v>186</v>
      </c>
      <c r="K64" s="2">
        <v>76</v>
      </c>
      <c r="L64" s="19">
        <f>FlightOps[[#This Row],[SeatsSold]]/FlightOps[[#This Row],[SeatsAvailable]]</f>
        <v>0.40860215053763443</v>
      </c>
      <c r="M64" s="2" t="s">
        <v>25</v>
      </c>
      <c r="N64" s="4">
        <v>56063.57</v>
      </c>
      <c r="O64" s="24">
        <f>FlightOps[[#This Row],[SeatsSold]]*FlightOps[[#This Row],[AvgTicketPrice]]</f>
        <v>4260831.32</v>
      </c>
      <c r="P64" s="2" t="s">
        <v>49</v>
      </c>
    </row>
    <row r="65" spans="1:16" x14ac:dyDescent="0.25">
      <c r="A65" s="2" t="s">
        <v>95</v>
      </c>
      <c r="B65" s="2" t="s">
        <v>13</v>
      </c>
      <c r="C65" s="2" t="s">
        <v>14</v>
      </c>
      <c r="D65" s="2" t="s">
        <v>24</v>
      </c>
      <c r="E65" s="2" t="str">
        <f>FlightOps[[#This Row],[Origin]]&amp;"-"&amp;FlightOps[[#This Row],[Destination]]</f>
        <v>Karachi-Lahore</v>
      </c>
      <c r="F65" s="3">
        <v>46110.270833333299</v>
      </c>
      <c r="G65" s="26">
        <f>HOUR(FlightOps[[#This Row],[ScheduledDeparture]])</f>
        <v>6</v>
      </c>
      <c r="H65" s="22">
        <v>0</v>
      </c>
      <c r="I65" s="2" t="s">
        <v>16</v>
      </c>
      <c r="J65" s="2">
        <v>180</v>
      </c>
      <c r="K65" s="2">
        <v>171</v>
      </c>
      <c r="L65" s="19">
        <f>FlightOps[[#This Row],[SeatsSold]]/FlightOps[[#This Row],[SeatsAvailable]]</f>
        <v>0.95</v>
      </c>
      <c r="M65" s="2" t="s">
        <v>17</v>
      </c>
      <c r="N65" s="4">
        <v>29540.29</v>
      </c>
      <c r="O65" s="24">
        <f>FlightOps[[#This Row],[SeatsSold]]*FlightOps[[#This Row],[AvgTicketPrice]]</f>
        <v>5051389.59</v>
      </c>
      <c r="P65" s="2" t="s">
        <v>18</v>
      </c>
    </row>
    <row r="66" spans="1:16" x14ac:dyDescent="0.25">
      <c r="A66" s="2" t="s">
        <v>96</v>
      </c>
      <c r="B66" s="2" t="s">
        <v>33</v>
      </c>
      <c r="C66" s="2" t="s">
        <v>14</v>
      </c>
      <c r="D66" s="2" t="s">
        <v>24</v>
      </c>
      <c r="E66" s="2" t="str">
        <f>FlightOps[[#This Row],[Origin]]&amp;"-"&amp;FlightOps[[#This Row],[Destination]]</f>
        <v>Karachi-Lahore</v>
      </c>
      <c r="F66" s="3">
        <v>46010.84375</v>
      </c>
      <c r="G66" s="26">
        <f>HOUR(FlightOps[[#This Row],[ScheduledDeparture]])</f>
        <v>20</v>
      </c>
      <c r="H66" s="22">
        <v>38</v>
      </c>
      <c r="I66" s="2" t="s">
        <v>31</v>
      </c>
      <c r="J66" s="2">
        <v>220</v>
      </c>
      <c r="K66" s="2">
        <v>177</v>
      </c>
      <c r="L66" s="19">
        <f>FlightOps[[#This Row],[SeatsSold]]/FlightOps[[#This Row],[SeatsAvailable]]</f>
        <v>0.80454545454545456</v>
      </c>
      <c r="M66" s="2" t="s">
        <v>17</v>
      </c>
      <c r="N66" s="4">
        <v>14540.53</v>
      </c>
      <c r="O66" s="24">
        <f>FlightOps[[#This Row],[SeatsSold]]*FlightOps[[#This Row],[AvgTicketPrice]]</f>
        <v>2573673.81</v>
      </c>
      <c r="P66" s="2" t="s">
        <v>26</v>
      </c>
    </row>
    <row r="67" spans="1:16" x14ac:dyDescent="0.25">
      <c r="A67" s="2" t="s">
        <v>97</v>
      </c>
      <c r="B67" s="2" t="s">
        <v>33</v>
      </c>
      <c r="C67" s="2" t="s">
        <v>14</v>
      </c>
      <c r="D67" s="2" t="s">
        <v>37</v>
      </c>
      <c r="E67" s="2" t="str">
        <f>FlightOps[[#This Row],[Origin]]&amp;"-"&amp;FlightOps[[#This Row],[Destination]]</f>
        <v>Karachi-Jeddah</v>
      </c>
      <c r="F67" s="3">
        <v>46068.65625</v>
      </c>
      <c r="G67" s="26">
        <f>HOUR(FlightOps[[#This Row],[ScheduledDeparture]])</f>
        <v>15</v>
      </c>
      <c r="H67" s="22">
        <v>0</v>
      </c>
      <c r="I67" s="2" t="s">
        <v>31</v>
      </c>
      <c r="J67" s="2">
        <v>220</v>
      </c>
      <c r="K67" s="2">
        <v>139</v>
      </c>
      <c r="L67" s="19">
        <f>FlightOps[[#This Row],[SeatsSold]]/FlightOps[[#This Row],[SeatsAvailable]]</f>
        <v>0.63181818181818183</v>
      </c>
      <c r="M67" s="2" t="s">
        <v>17</v>
      </c>
      <c r="N67" s="4">
        <v>16621.11</v>
      </c>
      <c r="O67" s="24">
        <f>FlightOps[[#This Row],[SeatsSold]]*FlightOps[[#This Row],[AvgTicketPrice]]</f>
        <v>2310334.29</v>
      </c>
      <c r="P67" s="2" t="s">
        <v>18</v>
      </c>
    </row>
    <row r="68" spans="1:16" x14ac:dyDescent="0.25">
      <c r="A68" s="2" t="s">
        <v>98</v>
      </c>
      <c r="B68" s="2" t="s">
        <v>42</v>
      </c>
      <c r="C68" s="2" t="s">
        <v>24</v>
      </c>
      <c r="D68" s="2" t="s">
        <v>28</v>
      </c>
      <c r="E68" s="2" t="str">
        <f>FlightOps[[#This Row],[Origin]]&amp;"-"&amp;FlightOps[[#This Row],[Destination]]</f>
        <v>Lahore-London</v>
      </c>
      <c r="F68" s="3">
        <v>45934.958333333299</v>
      </c>
      <c r="G68" s="26">
        <f>HOUR(FlightOps[[#This Row],[ScheduledDeparture]])</f>
        <v>23</v>
      </c>
      <c r="H68" s="22">
        <v>0</v>
      </c>
      <c r="I68" s="2" t="s">
        <v>35</v>
      </c>
      <c r="J68" s="2">
        <v>186</v>
      </c>
      <c r="K68" s="2">
        <v>113</v>
      </c>
      <c r="L68" s="19">
        <f>FlightOps[[#This Row],[SeatsSold]]/FlightOps[[#This Row],[SeatsAvailable]]</f>
        <v>0.60752688172043012</v>
      </c>
      <c r="M68" s="2" t="s">
        <v>17</v>
      </c>
      <c r="N68" s="4">
        <v>16702.63</v>
      </c>
      <c r="O68" s="24">
        <f>FlightOps[[#This Row],[SeatsSold]]*FlightOps[[#This Row],[AvgTicketPrice]]</f>
        <v>1887397.1900000002</v>
      </c>
      <c r="P68" s="2" t="s">
        <v>18</v>
      </c>
    </row>
    <row r="69" spans="1:16" x14ac:dyDescent="0.25">
      <c r="A69" s="2" t="s">
        <v>99</v>
      </c>
      <c r="B69" s="2" t="s">
        <v>33</v>
      </c>
      <c r="C69" s="2" t="s">
        <v>14</v>
      </c>
      <c r="D69" s="2" t="s">
        <v>24</v>
      </c>
      <c r="E69" s="2" t="str">
        <f>FlightOps[[#This Row],[Origin]]&amp;"-"&amp;FlightOps[[#This Row],[Destination]]</f>
        <v>Karachi-Lahore</v>
      </c>
      <c r="F69" s="3">
        <v>46147.21875</v>
      </c>
      <c r="G69" s="26">
        <f>HOUR(FlightOps[[#This Row],[ScheduledDeparture]])</f>
        <v>5</v>
      </c>
      <c r="H69" s="22">
        <v>21</v>
      </c>
      <c r="I69" s="2" t="s">
        <v>31</v>
      </c>
      <c r="J69" s="2">
        <v>220</v>
      </c>
      <c r="K69" s="2">
        <v>217</v>
      </c>
      <c r="L69" s="19">
        <f>FlightOps[[#This Row],[SeatsSold]]/FlightOps[[#This Row],[SeatsAvailable]]</f>
        <v>0.98636363636363633</v>
      </c>
      <c r="M69" s="2" t="s">
        <v>17</v>
      </c>
      <c r="N69" s="4">
        <v>47219.6</v>
      </c>
      <c r="O69" s="24">
        <f>FlightOps[[#This Row],[SeatsSold]]*FlightOps[[#This Row],[AvgTicketPrice]]</f>
        <v>10246653.199999999</v>
      </c>
      <c r="P69" s="2" t="s">
        <v>21</v>
      </c>
    </row>
    <row r="70" spans="1:16" x14ac:dyDescent="0.25">
      <c r="A70" s="2" t="s">
        <v>100</v>
      </c>
      <c r="B70" s="2" t="s">
        <v>13</v>
      </c>
      <c r="C70" s="2" t="s">
        <v>15</v>
      </c>
      <c r="D70" s="2" t="s">
        <v>37</v>
      </c>
      <c r="E70" s="2" t="str">
        <f>FlightOps[[#This Row],[Origin]]&amp;"-"&amp;FlightOps[[#This Row],[Destination]]</f>
        <v>Islamabad-Jeddah</v>
      </c>
      <c r="F70" s="3">
        <v>46065.864583333299</v>
      </c>
      <c r="G70" s="26">
        <f>HOUR(FlightOps[[#This Row],[ScheduledDeparture]])</f>
        <v>20</v>
      </c>
      <c r="H70" s="22">
        <v>3</v>
      </c>
      <c r="I70" s="2" t="s">
        <v>35</v>
      </c>
      <c r="J70" s="2">
        <v>186</v>
      </c>
      <c r="K70" s="2">
        <v>152</v>
      </c>
      <c r="L70" s="19">
        <f>FlightOps[[#This Row],[SeatsSold]]/FlightOps[[#This Row],[SeatsAvailable]]</f>
        <v>0.81720430107526887</v>
      </c>
      <c r="M70" s="2" t="s">
        <v>25</v>
      </c>
      <c r="N70" s="4">
        <v>56539</v>
      </c>
      <c r="O70" s="24">
        <f>FlightOps[[#This Row],[SeatsSold]]*FlightOps[[#This Row],[AvgTicketPrice]]</f>
        <v>8593928</v>
      </c>
      <c r="P70" s="2" t="s">
        <v>21</v>
      </c>
    </row>
    <row r="71" spans="1:16" x14ac:dyDescent="0.25">
      <c r="A71" s="2" t="s">
        <v>101</v>
      </c>
      <c r="B71" s="2" t="s">
        <v>23</v>
      </c>
      <c r="C71" s="2" t="s">
        <v>15</v>
      </c>
      <c r="D71" s="2" t="s">
        <v>37</v>
      </c>
      <c r="E71" s="2" t="str">
        <f>FlightOps[[#This Row],[Origin]]&amp;"-"&amp;FlightOps[[#This Row],[Destination]]</f>
        <v>Islamabad-Jeddah</v>
      </c>
      <c r="F71" s="3">
        <v>46054.708333333299</v>
      </c>
      <c r="G71" s="26">
        <f>HOUR(FlightOps[[#This Row],[ScheduledDeparture]])</f>
        <v>17</v>
      </c>
      <c r="H71" s="22">
        <v>39</v>
      </c>
      <c r="I71" s="2" t="s">
        <v>20</v>
      </c>
      <c r="J71" s="2">
        <v>72</v>
      </c>
      <c r="K71" s="2">
        <v>39</v>
      </c>
      <c r="L71" s="19">
        <f>FlightOps[[#This Row],[SeatsSold]]/FlightOps[[#This Row],[SeatsAvailable]]</f>
        <v>0.54166666666666663</v>
      </c>
      <c r="M71" s="2" t="s">
        <v>25</v>
      </c>
      <c r="N71" s="4">
        <v>94834</v>
      </c>
      <c r="O71" s="24">
        <f>FlightOps[[#This Row],[SeatsSold]]*FlightOps[[#This Row],[AvgTicketPrice]]</f>
        <v>3698526</v>
      </c>
      <c r="P71" s="2" t="s">
        <v>21</v>
      </c>
    </row>
    <row r="72" spans="1:16" x14ac:dyDescent="0.25">
      <c r="A72" s="2" t="s">
        <v>102</v>
      </c>
      <c r="B72" s="2" t="s">
        <v>33</v>
      </c>
      <c r="C72" s="2" t="s">
        <v>14</v>
      </c>
      <c r="D72" s="2" t="s">
        <v>24</v>
      </c>
      <c r="E72" s="2" t="str">
        <f>FlightOps[[#This Row],[Origin]]&amp;"-"&amp;FlightOps[[#This Row],[Destination]]</f>
        <v>Karachi-Lahore</v>
      </c>
      <c r="F72" s="3">
        <v>45880.947916666701</v>
      </c>
      <c r="G72" s="26">
        <f>HOUR(FlightOps[[#This Row],[ScheduledDeparture]])</f>
        <v>22</v>
      </c>
      <c r="H72" s="22">
        <v>0</v>
      </c>
      <c r="I72" s="2" t="s">
        <v>35</v>
      </c>
      <c r="J72" s="2">
        <v>186</v>
      </c>
      <c r="K72" s="2">
        <v>120</v>
      </c>
      <c r="L72" s="19">
        <f>FlightOps[[#This Row],[SeatsSold]]/FlightOps[[#This Row],[SeatsAvailable]]</f>
        <v>0.64516129032258063</v>
      </c>
      <c r="M72" s="2" t="s">
        <v>17</v>
      </c>
      <c r="N72" s="4">
        <v>45918.29</v>
      </c>
      <c r="O72" s="24">
        <f>FlightOps[[#This Row],[SeatsSold]]*FlightOps[[#This Row],[AvgTicketPrice]]</f>
        <v>5510194.7999999998</v>
      </c>
      <c r="P72" s="2" t="s">
        <v>18</v>
      </c>
    </row>
    <row r="73" spans="1:16" x14ac:dyDescent="0.25">
      <c r="A73" s="2" t="s">
        <v>103</v>
      </c>
      <c r="B73" s="2" t="s">
        <v>23</v>
      </c>
      <c r="C73" s="2" t="s">
        <v>24</v>
      </c>
      <c r="D73" s="2" t="s">
        <v>15</v>
      </c>
      <c r="E73" s="2" t="str">
        <f>FlightOps[[#This Row],[Origin]]&amp;"-"&amp;FlightOps[[#This Row],[Destination]]</f>
        <v>Lahore-Islamabad</v>
      </c>
      <c r="F73" s="3">
        <v>45944.166666666701</v>
      </c>
      <c r="G73" s="26">
        <f>HOUR(FlightOps[[#This Row],[ScheduledDeparture]])</f>
        <v>4</v>
      </c>
      <c r="H73" s="22">
        <v>16</v>
      </c>
      <c r="I73" s="2" t="s">
        <v>31</v>
      </c>
      <c r="J73" s="2">
        <v>220</v>
      </c>
      <c r="K73" s="2">
        <v>99</v>
      </c>
      <c r="L73" s="19">
        <f>FlightOps[[#This Row],[SeatsSold]]/FlightOps[[#This Row],[SeatsAvailable]]</f>
        <v>0.45</v>
      </c>
      <c r="M73" s="2" t="s">
        <v>17</v>
      </c>
      <c r="N73" s="4">
        <v>19215.080000000002</v>
      </c>
      <c r="O73" s="24">
        <f>FlightOps[[#This Row],[SeatsSold]]*FlightOps[[#This Row],[AvgTicketPrice]]</f>
        <v>1902292.9200000002</v>
      </c>
      <c r="P73" s="2" t="s">
        <v>26</v>
      </c>
    </row>
    <row r="74" spans="1:16" x14ac:dyDescent="0.25">
      <c r="A74" s="2" t="s">
        <v>104</v>
      </c>
      <c r="B74" s="2" t="s">
        <v>23</v>
      </c>
      <c r="C74" s="2" t="s">
        <v>24</v>
      </c>
      <c r="D74" s="2" t="s">
        <v>15</v>
      </c>
      <c r="E74" s="2" t="str">
        <f>FlightOps[[#This Row],[Origin]]&amp;"-"&amp;FlightOps[[#This Row],[Destination]]</f>
        <v>Lahore-Islamabad</v>
      </c>
      <c r="F74" s="3">
        <v>46146.1875</v>
      </c>
      <c r="G74" s="26">
        <f>HOUR(FlightOps[[#This Row],[ScheduledDeparture]])</f>
        <v>4</v>
      </c>
      <c r="H74" s="22">
        <v>0</v>
      </c>
      <c r="I74" s="2" t="s">
        <v>35</v>
      </c>
      <c r="J74" s="2">
        <v>186</v>
      </c>
      <c r="K74" s="2">
        <v>89</v>
      </c>
      <c r="L74" s="19">
        <f>FlightOps[[#This Row],[SeatsSold]]/FlightOps[[#This Row],[SeatsAvailable]]</f>
        <v>0.478494623655914</v>
      </c>
      <c r="M74" s="2" t="s">
        <v>25</v>
      </c>
      <c r="N74" s="4">
        <v>115749.8</v>
      </c>
      <c r="O74" s="24">
        <f>FlightOps[[#This Row],[SeatsSold]]*FlightOps[[#This Row],[AvgTicketPrice]]</f>
        <v>10301732.200000001</v>
      </c>
      <c r="P74" s="2" t="s">
        <v>18</v>
      </c>
    </row>
    <row r="75" spans="1:16" x14ac:dyDescent="0.25">
      <c r="A75" s="2" t="s">
        <v>105</v>
      </c>
      <c r="B75" s="2" t="s">
        <v>13</v>
      </c>
      <c r="C75" s="2" t="s">
        <v>15</v>
      </c>
      <c r="D75" s="2" t="s">
        <v>37</v>
      </c>
      <c r="E75" s="2" t="str">
        <f>FlightOps[[#This Row],[Origin]]&amp;"-"&amp;FlightOps[[#This Row],[Destination]]</f>
        <v>Islamabad-Jeddah</v>
      </c>
      <c r="F75" s="3">
        <v>45942.270833333299</v>
      </c>
      <c r="G75" s="26">
        <f>HOUR(FlightOps[[#This Row],[ScheduledDeparture]])</f>
        <v>6</v>
      </c>
      <c r="H75" s="22">
        <v>7</v>
      </c>
      <c r="I75" s="2" t="s">
        <v>20</v>
      </c>
      <c r="J75" s="2">
        <v>72</v>
      </c>
      <c r="K75" s="2">
        <v>42</v>
      </c>
      <c r="L75" s="19">
        <f>FlightOps[[#This Row],[SeatsSold]]/FlightOps[[#This Row],[SeatsAvailable]]</f>
        <v>0.58333333333333337</v>
      </c>
      <c r="M75" s="2" t="s">
        <v>17</v>
      </c>
      <c r="N75" s="4">
        <v>14876.6</v>
      </c>
      <c r="O75" s="24">
        <f>FlightOps[[#This Row],[SeatsSold]]*FlightOps[[#This Row],[AvgTicketPrice]]</f>
        <v>624817.20000000007</v>
      </c>
      <c r="P75" s="2" t="s">
        <v>26</v>
      </c>
    </row>
    <row r="76" spans="1:16" x14ac:dyDescent="0.25">
      <c r="A76" s="2" t="s">
        <v>106</v>
      </c>
      <c r="B76" s="2" t="s">
        <v>42</v>
      </c>
      <c r="C76" s="2" t="s">
        <v>14</v>
      </c>
      <c r="D76" s="2" t="s">
        <v>24</v>
      </c>
      <c r="E76" s="2" t="str">
        <f>FlightOps[[#This Row],[Origin]]&amp;"-"&amp;FlightOps[[#This Row],[Destination]]</f>
        <v>Karachi-Lahore</v>
      </c>
      <c r="F76" s="3">
        <v>46090.791666666701</v>
      </c>
      <c r="G76" s="26">
        <f>HOUR(FlightOps[[#This Row],[ScheduledDeparture]])</f>
        <v>19</v>
      </c>
      <c r="H76" s="22">
        <v>0</v>
      </c>
      <c r="I76" s="2" t="s">
        <v>20</v>
      </c>
      <c r="J76" s="2">
        <v>72</v>
      </c>
      <c r="K76" s="2">
        <v>68</v>
      </c>
      <c r="L76" s="19">
        <f>FlightOps[[#This Row],[SeatsSold]]/FlightOps[[#This Row],[SeatsAvailable]]</f>
        <v>0.94444444444444442</v>
      </c>
      <c r="M76" s="2" t="s">
        <v>17</v>
      </c>
      <c r="N76" s="4">
        <v>10795.9</v>
      </c>
      <c r="O76" s="24">
        <f>FlightOps[[#This Row],[SeatsSold]]*FlightOps[[#This Row],[AvgTicketPrice]]</f>
        <v>734121.2</v>
      </c>
      <c r="P76" s="2" t="s">
        <v>18</v>
      </c>
    </row>
    <row r="77" spans="1:16" x14ac:dyDescent="0.25">
      <c r="A77" s="2" t="s">
        <v>107</v>
      </c>
      <c r="B77" s="2" t="s">
        <v>13</v>
      </c>
      <c r="C77" s="2" t="s">
        <v>14</v>
      </c>
      <c r="D77" s="2" t="s">
        <v>24</v>
      </c>
      <c r="E77" s="2" t="str">
        <f>FlightOps[[#This Row],[Origin]]&amp;"-"&amp;FlightOps[[#This Row],[Destination]]</f>
        <v>Karachi-Lahore</v>
      </c>
      <c r="F77" s="3">
        <v>45857.260416666701</v>
      </c>
      <c r="G77" s="26">
        <f>HOUR(FlightOps[[#This Row],[ScheduledDeparture]])</f>
        <v>6</v>
      </c>
      <c r="H77" s="22">
        <v>9</v>
      </c>
      <c r="I77" s="2" t="s">
        <v>16</v>
      </c>
      <c r="J77" s="2">
        <v>180</v>
      </c>
      <c r="K77" s="2">
        <v>168</v>
      </c>
      <c r="L77" s="19">
        <f>FlightOps[[#This Row],[SeatsSold]]/FlightOps[[#This Row],[SeatsAvailable]]</f>
        <v>0.93333333333333335</v>
      </c>
      <c r="M77" s="2" t="s">
        <v>17</v>
      </c>
      <c r="N77" s="4">
        <v>37126.050000000003</v>
      </c>
      <c r="O77" s="24">
        <f>FlightOps[[#This Row],[SeatsSold]]*FlightOps[[#This Row],[AvgTicketPrice]]</f>
        <v>6237176.4000000004</v>
      </c>
      <c r="P77" s="2" t="s">
        <v>26</v>
      </c>
    </row>
    <row r="78" spans="1:16" x14ac:dyDescent="0.25">
      <c r="A78" s="2" t="s">
        <v>108</v>
      </c>
      <c r="B78" s="2" t="s">
        <v>13</v>
      </c>
      <c r="C78" s="2" t="s">
        <v>24</v>
      </c>
      <c r="D78" s="2" t="s">
        <v>15</v>
      </c>
      <c r="E78" s="2" t="str">
        <f>FlightOps[[#This Row],[Origin]]&amp;"-"&amp;FlightOps[[#This Row],[Destination]]</f>
        <v>Lahore-Islamabad</v>
      </c>
      <c r="F78" s="3">
        <v>46074.21875</v>
      </c>
      <c r="G78" s="26">
        <f>HOUR(FlightOps[[#This Row],[ScheduledDeparture]])</f>
        <v>5</v>
      </c>
      <c r="H78" s="22">
        <v>2</v>
      </c>
      <c r="I78" s="2" t="s">
        <v>35</v>
      </c>
      <c r="J78" s="2">
        <v>186</v>
      </c>
      <c r="K78" s="2">
        <v>146</v>
      </c>
      <c r="L78" s="19">
        <f>FlightOps[[#This Row],[SeatsSold]]/FlightOps[[#This Row],[SeatsAvailable]]</f>
        <v>0.78494623655913975</v>
      </c>
      <c r="M78" s="2" t="s">
        <v>25</v>
      </c>
      <c r="N78" s="4">
        <v>126921.01</v>
      </c>
      <c r="O78" s="24">
        <f>FlightOps[[#This Row],[SeatsSold]]*FlightOps[[#This Row],[AvgTicketPrice]]</f>
        <v>18530467.460000001</v>
      </c>
      <c r="P78" s="2" t="s">
        <v>21</v>
      </c>
    </row>
    <row r="79" spans="1:16" x14ac:dyDescent="0.25">
      <c r="A79" s="2" t="s">
        <v>109</v>
      </c>
      <c r="B79" s="2" t="s">
        <v>23</v>
      </c>
      <c r="C79" s="2" t="s">
        <v>24</v>
      </c>
      <c r="D79" s="2" t="s">
        <v>28</v>
      </c>
      <c r="E79" s="2" t="str">
        <f>FlightOps[[#This Row],[Origin]]&amp;"-"&amp;FlightOps[[#This Row],[Destination]]</f>
        <v>Lahore-London</v>
      </c>
      <c r="F79" s="3">
        <v>46134.802083333299</v>
      </c>
      <c r="G79" s="26">
        <f>HOUR(FlightOps[[#This Row],[ScheduledDeparture]])</f>
        <v>19</v>
      </c>
      <c r="H79" s="22">
        <v>0</v>
      </c>
      <c r="I79" s="2" t="s">
        <v>20</v>
      </c>
      <c r="J79" s="2">
        <v>72</v>
      </c>
      <c r="K79" s="2">
        <v>36</v>
      </c>
      <c r="L79" s="19">
        <f>FlightOps[[#This Row],[SeatsSold]]/FlightOps[[#This Row],[SeatsAvailable]]</f>
        <v>0.5</v>
      </c>
      <c r="M79" s="2" t="s">
        <v>17</v>
      </c>
      <c r="N79" s="4">
        <v>32631.32</v>
      </c>
      <c r="O79" s="24">
        <f>FlightOps[[#This Row],[SeatsSold]]*FlightOps[[#This Row],[AvgTicketPrice]]</f>
        <v>1174727.52</v>
      </c>
      <c r="P79" s="2" t="s">
        <v>18</v>
      </c>
    </row>
    <row r="80" spans="1:16" x14ac:dyDescent="0.25">
      <c r="A80" s="2" t="s">
        <v>110</v>
      </c>
      <c r="B80" s="2" t="s">
        <v>23</v>
      </c>
      <c r="C80" s="2" t="s">
        <v>14</v>
      </c>
      <c r="D80" s="2" t="s">
        <v>24</v>
      </c>
      <c r="E80" s="2" t="str">
        <f>FlightOps[[#This Row],[Origin]]&amp;"-"&amp;FlightOps[[#This Row],[Destination]]</f>
        <v>Karachi-Lahore</v>
      </c>
      <c r="F80" s="3">
        <v>46081.208333333299</v>
      </c>
      <c r="G80" s="26">
        <f>HOUR(FlightOps[[#This Row],[ScheduledDeparture]])</f>
        <v>5</v>
      </c>
      <c r="H80" s="22">
        <v>17</v>
      </c>
      <c r="I80" s="2" t="s">
        <v>16</v>
      </c>
      <c r="J80" s="2">
        <v>180</v>
      </c>
      <c r="K80" s="2">
        <v>71</v>
      </c>
      <c r="L80" s="19">
        <f>FlightOps[[#This Row],[SeatsSold]]/FlightOps[[#This Row],[SeatsAvailable]]</f>
        <v>0.39444444444444443</v>
      </c>
      <c r="M80" s="2" t="s">
        <v>17</v>
      </c>
      <c r="N80" s="4">
        <v>20070.78</v>
      </c>
      <c r="O80" s="24">
        <f>FlightOps[[#This Row],[SeatsSold]]*FlightOps[[#This Row],[AvgTicketPrice]]</f>
        <v>1425025.38</v>
      </c>
      <c r="P80" s="2" t="s">
        <v>49</v>
      </c>
    </row>
    <row r="81" spans="1:16" x14ac:dyDescent="0.25">
      <c r="A81" s="2" t="s">
        <v>111</v>
      </c>
      <c r="B81" s="2" t="s">
        <v>42</v>
      </c>
      <c r="C81" s="2" t="s">
        <v>24</v>
      </c>
      <c r="D81" s="2" t="s">
        <v>30</v>
      </c>
      <c r="E81" s="2" t="str">
        <f>FlightOps[[#This Row],[Origin]]&amp;"-"&amp;FlightOps[[#This Row],[Destination]]</f>
        <v>Lahore-Dubai</v>
      </c>
      <c r="F81" s="3">
        <v>46140.260416666701</v>
      </c>
      <c r="G81" s="26">
        <f>HOUR(FlightOps[[#This Row],[ScheduledDeparture]])</f>
        <v>6</v>
      </c>
      <c r="H81" s="22">
        <v>3</v>
      </c>
      <c r="I81" s="2" t="s">
        <v>31</v>
      </c>
      <c r="J81" s="2">
        <v>220</v>
      </c>
      <c r="K81" s="2">
        <v>175</v>
      </c>
      <c r="L81" s="19">
        <f>FlightOps[[#This Row],[SeatsSold]]/FlightOps[[#This Row],[SeatsAvailable]]</f>
        <v>0.79545454545454541</v>
      </c>
      <c r="M81" s="2" t="s">
        <v>17</v>
      </c>
      <c r="N81" s="4">
        <v>18470.14</v>
      </c>
      <c r="O81" s="24">
        <f>FlightOps[[#This Row],[SeatsSold]]*FlightOps[[#This Row],[AvgTicketPrice]]</f>
        <v>3232274.5</v>
      </c>
      <c r="P81" s="2" t="s">
        <v>39</v>
      </c>
    </row>
    <row r="82" spans="1:16" x14ac:dyDescent="0.25">
      <c r="A82" s="2" t="s">
        <v>112</v>
      </c>
      <c r="B82" s="2" t="s">
        <v>33</v>
      </c>
      <c r="C82" s="2" t="s">
        <v>14</v>
      </c>
      <c r="D82" s="2" t="s">
        <v>15</v>
      </c>
      <c r="E82" s="2" t="str">
        <f>FlightOps[[#This Row],[Origin]]&amp;"-"&amp;FlightOps[[#This Row],[Destination]]</f>
        <v>Karachi-Islamabad</v>
      </c>
      <c r="F82" s="3">
        <v>45955.895833333299</v>
      </c>
      <c r="G82" s="26">
        <f>HOUR(FlightOps[[#This Row],[ScheduledDeparture]])</f>
        <v>21</v>
      </c>
      <c r="H82" s="22">
        <v>14</v>
      </c>
      <c r="I82" s="2" t="s">
        <v>16</v>
      </c>
      <c r="J82" s="2">
        <v>180</v>
      </c>
      <c r="K82" s="2">
        <v>140</v>
      </c>
      <c r="L82" s="19">
        <f>FlightOps[[#This Row],[SeatsSold]]/FlightOps[[#This Row],[SeatsAvailable]]</f>
        <v>0.77777777777777779</v>
      </c>
      <c r="M82" s="2" t="s">
        <v>17</v>
      </c>
      <c r="N82" s="4">
        <v>11832.6</v>
      </c>
      <c r="O82" s="24">
        <f>FlightOps[[#This Row],[SeatsSold]]*FlightOps[[#This Row],[AvgTicketPrice]]</f>
        <v>1656564</v>
      </c>
      <c r="P82" s="2" t="s">
        <v>39</v>
      </c>
    </row>
    <row r="83" spans="1:16" x14ac:dyDescent="0.25">
      <c r="A83" s="2" t="s">
        <v>113</v>
      </c>
      <c r="B83" s="2" t="s">
        <v>42</v>
      </c>
      <c r="C83" s="2" t="s">
        <v>24</v>
      </c>
      <c r="D83" s="2" t="s">
        <v>15</v>
      </c>
      <c r="E83" s="2" t="str">
        <f>FlightOps[[#This Row],[Origin]]&amp;"-"&amp;FlightOps[[#This Row],[Destination]]</f>
        <v>Lahore-Islamabad</v>
      </c>
      <c r="F83" s="3">
        <v>45923.6875</v>
      </c>
      <c r="G83" s="26">
        <f>HOUR(FlightOps[[#This Row],[ScheduledDeparture]])</f>
        <v>16</v>
      </c>
      <c r="H83" s="22">
        <v>79</v>
      </c>
      <c r="I83" s="2" t="s">
        <v>20</v>
      </c>
      <c r="J83" s="2">
        <v>72</v>
      </c>
      <c r="K83" s="2">
        <v>36</v>
      </c>
      <c r="L83" s="19">
        <f>FlightOps[[#This Row],[SeatsSold]]/FlightOps[[#This Row],[SeatsAvailable]]</f>
        <v>0.5</v>
      </c>
      <c r="M83" s="2" t="s">
        <v>17</v>
      </c>
      <c r="N83" s="4">
        <v>43129.71</v>
      </c>
      <c r="O83" s="24">
        <f>FlightOps[[#This Row],[SeatsSold]]*FlightOps[[#This Row],[AvgTicketPrice]]</f>
        <v>1552669.56</v>
      </c>
      <c r="P83" s="2" t="s">
        <v>26</v>
      </c>
    </row>
    <row r="84" spans="1:16" x14ac:dyDescent="0.25">
      <c r="A84" s="2" t="s">
        <v>114</v>
      </c>
      <c r="B84" s="2" t="s">
        <v>33</v>
      </c>
      <c r="C84" s="2" t="s">
        <v>14</v>
      </c>
      <c r="D84" s="2" t="s">
        <v>37</v>
      </c>
      <c r="E84" s="2" t="str">
        <f>FlightOps[[#This Row],[Origin]]&amp;"-"&amp;FlightOps[[#This Row],[Destination]]</f>
        <v>Karachi-Jeddah</v>
      </c>
      <c r="F84" s="3">
        <v>46171.78125</v>
      </c>
      <c r="G84" s="26">
        <f>HOUR(FlightOps[[#This Row],[ScheduledDeparture]])</f>
        <v>18</v>
      </c>
      <c r="H84" s="22">
        <v>39</v>
      </c>
      <c r="I84" s="2" t="s">
        <v>20</v>
      </c>
      <c r="J84" s="2">
        <v>72</v>
      </c>
      <c r="K84" s="2">
        <v>60</v>
      </c>
      <c r="L84" s="19">
        <f>FlightOps[[#This Row],[SeatsSold]]/FlightOps[[#This Row],[SeatsAvailable]]</f>
        <v>0.83333333333333337</v>
      </c>
      <c r="M84" s="2" t="s">
        <v>17</v>
      </c>
      <c r="N84" s="4">
        <v>56652.18</v>
      </c>
      <c r="O84" s="24">
        <f>FlightOps[[#This Row],[SeatsSold]]*FlightOps[[#This Row],[AvgTicketPrice]]</f>
        <v>3399130.8</v>
      </c>
      <c r="P84" s="2" t="s">
        <v>21</v>
      </c>
    </row>
    <row r="85" spans="1:16" x14ac:dyDescent="0.25">
      <c r="A85" s="2" t="s">
        <v>115</v>
      </c>
      <c r="B85" s="2" t="s">
        <v>23</v>
      </c>
      <c r="C85" s="2" t="s">
        <v>14</v>
      </c>
      <c r="D85" s="2" t="s">
        <v>37</v>
      </c>
      <c r="E85" s="2" t="str">
        <f>FlightOps[[#This Row],[Origin]]&amp;"-"&amp;FlightOps[[#This Row],[Destination]]</f>
        <v>Karachi-Jeddah</v>
      </c>
      <c r="F85" s="3">
        <v>45986.3125</v>
      </c>
      <c r="G85" s="26">
        <f>HOUR(FlightOps[[#This Row],[ScheduledDeparture]])</f>
        <v>7</v>
      </c>
      <c r="H85" s="22">
        <v>39</v>
      </c>
      <c r="I85" s="2" t="s">
        <v>31</v>
      </c>
      <c r="J85" s="2">
        <v>220</v>
      </c>
      <c r="K85" s="2">
        <v>108</v>
      </c>
      <c r="L85" s="19">
        <f>FlightOps[[#This Row],[SeatsSold]]/FlightOps[[#This Row],[SeatsAvailable]]</f>
        <v>0.49090909090909091</v>
      </c>
      <c r="M85" s="2" t="s">
        <v>17</v>
      </c>
      <c r="N85" s="4">
        <v>14111.1</v>
      </c>
      <c r="O85" s="24">
        <f>FlightOps[[#This Row],[SeatsSold]]*FlightOps[[#This Row],[AvgTicketPrice]]</f>
        <v>1523998.8</v>
      </c>
      <c r="P85" s="2" t="s">
        <v>21</v>
      </c>
    </row>
    <row r="86" spans="1:16" x14ac:dyDescent="0.25">
      <c r="A86" s="2" t="s">
        <v>116</v>
      </c>
      <c r="B86" s="2" t="s">
        <v>23</v>
      </c>
      <c r="C86" s="2" t="s">
        <v>14</v>
      </c>
      <c r="D86" s="2" t="s">
        <v>30</v>
      </c>
      <c r="E86" s="2" t="str">
        <f>FlightOps[[#This Row],[Origin]]&amp;"-"&amp;FlightOps[[#This Row],[Destination]]</f>
        <v>Karachi-Dubai</v>
      </c>
      <c r="F86" s="3">
        <v>45927.53125</v>
      </c>
      <c r="G86" s="26">
        <f>HOUR(FlightOps[[#This Row],[ScheduledDeparture]])</f>
        <v>12</v>
      </c>
      <c r="H86" s="22">
        <v>44</v>
      </c>
      <c r="I86" s="2" t="s">
        <v>16</v>
      </c>
      <c r="J86" s="2">
        <v>180</v>
      </c>
      <c r="K86" s="2">
        <v>150</v>
      </c>
      <c r="L86" s="19">
        <f>FlightOps[[#This Row],[SeatsSold]]/FlightOps[[#This Row],[SeatsAvailable]]</f>
        <v>0.83333333333333337</v>
      </c>
      <c r="M86" s="2" t="s">
        <v>25</v>
      </c>
      <c r="N86" s="4">
        <v>74275.360000000001</v>
      </c>
      <c r="O86" s="24">
        <f>FlightOps[[#This Row],[SeatsSold]]*FlightOps[[#This Row],[AvgTicketPrice]]</f>
        <v>11141304</v>
      </c>
      <c r="P86" s="2" t="s">
        <v>49</v>
      </c>
    </row>
    <row r="87" spans="1:16" x14ac:dyDescent="0.25">
      <c r="A87" s="2" t="s">
        <v>117</v>
      </c>
      <c r="B87" s="2" t="s">
        <v>23</v>
      </c>
      <c r="C87" s="2" t="s">
        <v>14</v>
      </c>
      <c r="D87" s="2" t="s">
        <v>15</v>
      </c>
      <c r="E87" s="2" t="str">
        <f>FlightOps[[#This Row],[Origin]]&amp;"-"&amp;FlightOps[[#This Row],[Destination]]</f>
        <v>Karachi-Islamabad</v>
      </c>
      <c r="F87" s="3">
        <v>45896.979166666701</v>
      </c>
      <c r="G87" s="26">
        <f>HOUR(FlightOps[[#This Row],[ScheduledDeparture]])</f>
        <v>23</v>
      </c>
      <c r="H87" s="22">
        <v>7</v>
      </c>
      <c r="I87" s="2" t="s">
        <v>35</v>
      </c>
      <c r="J87" s="2">
        <v>186</v>
      </c>
      <c r="K87" s="2">
        <v>80</v>
      </c>
      <c r="L87" s="19">
        <f>FlightOps[[#This Row],[SeatsSold]]/FlightOps[[#This Row],[SeatsAvailable]]</f>
        <v>0.43010752688172044</v>
      </c>
      <c r="M87" s="2" t="s">
        <v>25</v>
      </c>
      <c r="N87" s="4">
        <v>90042.58</v>
      </c>
      <c r="O87" s="24">
        <f>FlightOps[[#This Row],[SeatsSold]]*FlightOps[[#This Row],[AvgTicketPrice]]</f>
        <v>7203406.4000000004</v>
      </c>
      <c r="P87" s="2" t="s">
        <v>21</v>
      </c>
    </row>
    <row r="88" spans="1:16" x14ac:dyDescent="0.25">
      <c r="A88" s="2" t="s">
        <v>118</v>
      </c>
      <c r="B88" s="2" t="s">
        <v>42</v>
      </c>
      <c r="C88" s="2" t="s">
        <v>14</v>
      </c>
      <c r="D88" s="2" t="s">
        <v>30</v>
      </c>
      <c r="E88" s="2" t="str">
        <f>FlightOps[[#This Row],[Origin]]&amp;"-"&amp;FlightOps[[#This Row],[Destination]]</f>
        <v>Karachi-Dubai</v>
      </c>
      <c r="F88" s="3">
        <v>46123.760416666701</v>
      </c>
      <c r="G88" s="26">
        <f>HOUR(FlightOps[[#This Row],[ScheduledDeparture]])</f>
        <v>18</v>
      </c>
      <c r="H88" s="22">
        <v>0</v>
      </c>
      <c r="I88" s="2" t="s">
        <v>20</v>
      </c>
      <c r="J88" s="2">
        <v>72</v>
      </c>
      <c r="K88" s="2">
        <v>53</v>
      </c>
      <c r="L88" s="19">
        <f>FlightOps[[#This Row],[SeatsSold]]/FlightOps[[#This Row],[SeatsAvailable]]</f>
        <v>0.73611111111111116</v>
      </c>
      <c r="M88" s="2" t="s">
        <v>17</v>
      </c>
      <c r="N88" s="4">
        <v>57901.52</v>
      </c>
      <c r="O88" s="24">
        <f>FlightOps[[#This Row],[SeatsSold]]*FlightOps[[#This Row],[AvgTicketPrice]]</f>
        <v>3068780.56</v>
      </c>
      <c r="P88" s="2" t="s">
        <v>18</v>
      </c>
    </row>
    <row r="89" spans="1:16" x14ac:dyDescent="0.25">
      <c r="A89" s="2" t="s">
        <v>119</v>
      </c>
      <c r="B89" s="2" t="s">
        <v>42</v>
      </c>
      <c r="C89" s="2" t="s">
        <v>14</v>
      </c>
      <c r="D89" s="2" t="s">
        <v>37</v>
      </c>
      <c r="E89" s="2" t="str">
        <f>FlightOps[[#This Row],[Origin]]&amp;"-"&amp;FlightOps[[#This Row],[Destination]]</f>
        <v>Karachi-Jeddah</v>
      </c>
      <c r="F89" s="3">
        <v>45853.552083333299</v>
      </c>
      <c r="G89" s="26">
        <f>HOUR(FlightOps[[#This Row],[ScheduledDeparture]])</f>
        <v>13</v>
      </c>
      <c r="H89" s="22">
        <v>0</v>
      </c>
      <c r="I89" s="2" t="s">
        <v>35</v>
      </c>
      <c r="J89" s="2">
        <v>186</v>
      </c>
      <c r="K89" s="2">
        <v>94</v>
      </c>
      <c r="L89" s="19">
        <f>FlightOps[[#This Row],[SeatsSold]]/FlightOps[[#This Row],[SeatsAvailable]]</f>
        <v>0.5053763440860215</v>
      </c>
      <c r="M89" s="2" t="s">
        <v>17</v>
      </c>
      <c r="N89" s="4">
        <v>39977.279999999999</v>
      </c>
      <c r="O89" s="24">
        <f>FlightOps[[#This Row],[SeatsSold]]*FlightOps[[#This Row],[AvgTicketPrice]]</f>
        <v>3757864.32</v>
      </c>
      <c r="P89" s="2" t="s">
        <v>18</v>
      </c>
    </row>
    <row r="90" spans="1:16" x14ac:dyDescent="0.25">
      <c r="A90" s="2" t="s">
        <v>120</v>
      </c>
      <c r="B90" s="2" t="s">
        <v>13</v>
      </c>
      <c r="C90" s="2" t="s">
        <v>14</v>
      </c>
      <c r="D90" s="2" t="s">
        <v>24</v>
      </c>
      <c r="E90" s="2" t="str">
        <f>FlightOps[[#This Row],[Origin]]&amp;"-"&amp;FlightOps[[#This Row],[Destination]]</f>
        <v>Karachi-Lahore</v>
      </c>
      <c r="F90" s="3">
        <v>45944.21875</v>
      </c>
      <c r="G90" s="26">
        <f>HOUR(FlightOps[[#This Row],[ScheduledDeparture]])</f>
        <v>5</v>
      </c>
      <c r="H90" s="22">
        <v>38</v>
      </c>
      <c r="I90" s="2" t="s">
        <v>31</v>
      </c>
      <c r="J90" s="2">
        <v>220</v>
      </c>
      <c r="K90" s="2">
        <v>171</v>
      </c>
      <c r="L90" s="19">
        <f>FlightOps[[#This Row],[SeatsSold]]/FlightOps[[#This Row],[SeatsAvailable]]</f>
        <v>0.77727272727272723</v>
      </c>
      <c r="M90" s="2" t="s">
        <v>25</v>
      </c>
      <c r="N90" s="4">
        <v>101919.15</v>
      </c>
      <c r="O90" s="24">
        <f>FlightOps[[#This Row],[SeatsSold]]*FlightOps[[#This Row],[AvgTicketPrice]]</f>
        <v>17428174.649999999</v>
      </c>
      <c r="P90" s="2" t="s">
        <v>49</v>
      </c>
    </row>
    <row r="91" spans="1:16" x14ac:dyDescent="0.25">
      <c r="A91" s="2" t="s">
        <v>121</v>
      </c>
      <c r="B91" s="2" t="s">
        <v>33</v>
      </c>
      <c r="C91" s="2" t="s">
        <v>24</v>
      </c>
      <c r="D91" s="2" t="s">
        <v>28</v>
      </c>
      <c r="E91" s="2" t="str">
        <f>FlightOps[[#This Row],[Origin]]&amp;"-"&amp;FlightOps[[#This Row],[Destination]]</f>
        <v>Lahore-London</v>
      </c>
      <c r="F91" s="3">
        <v>45936.229166666701</v>
      </c>
      <c r="G91" s="26">
        <f>HOUR(FlightOps[[#This Row],[ScheduledDeparture]])</f>
        <v>5</v>
      </c>
      <c r="H91" s="22">
        <v>8</v>
      </c>
      <c r="I91" s="2" t="s">
        <v>35</v>
      </c>
      <c r="J91" s="2">
        <v>186</v>
      </c>
      <c r="K91" s="2">
        <v>67</v>
      </c>
      <c r="L91" s="19">
        <f>FlightOps[[#This Row],[SeatsSold]]/FlightOps[[#This Row],[SeatsAvailable]]</f>
        <v>0.36021505376344087</v>
      </c>
      <c r="M91" s="2" t="s">
        <v>25</v>
      </c>
      <c r="N91" s="4">
        <v>66485.84</v>
      </c>
      <c r="O91" s="24">
        <f>FlightOps[[#This Row],[SeatsSold]]*FlightOps[[#This Row],[AvgTicketPrice]]</f>
        <v>4454551.2799999993</v>
      </c>
      <c r="P91" s="2" t="s">
        <v>26</v>
      </c>
    </row>
    <row r="92" spans="1:16" x14ac:dyDescent="0.25">
      <c r="A92" s="2" t="s">
        <v>122</v>
      </c>
      <c r="B92" s="2" t="s">
        <v>13</v>
      </c>
      <c r="C92" s="2" t="s">
        <v>14</v>
      </c>
      <c r="D92" s="2" t="s">
        <v>24</v>
      </c>
      <c r="E92" s="2" t="str">
        <f>FlightOps[[#This Row],[Origin]]&amp;"-"&amp;FlightOps[[#This Row],[Destination]]</f>
        <v>Karachi-Lahore</v>
      </c>
      <c r="F92" s="3">
        <v>45909.635416666701</v>
      </c>
      <c r="G92" s="26">
        <f>HOUR(FlightOps[[#This Row],[ScheduledDeparture]])</f>
        <v>15</v>
      </c>
      <c r="H92" s="22">
        <v>17</v>
      </c>
      <c r="I92" s="2" t="s">
        <v>31</v>
      </c>
      <c r="J92" s="2">
        <v>220</v>
      </c>
      <c r="K92" s="2">
        <v>198</v>
      </c>
      <c r="L92" s="19">
        <f>FlightOps[[#This Row],[SeatsSold]]/FlightOps[[#This Row],[SeatsAvailable]]</f>
        <v>0.9</v>
      </c>
      <c r="M92" s="2" t="s">
        <v>17</v>
      </c>
      <c r="N92" s="4">
        <v>28667.119999999999</v>
      </c>
      <c r="O92" s="24">
        <f>FlightOps[[#This Row],[SeatsSold]]*FlightOps[[#This Row],[AvgTicketPrice]]</f>
        <v>5676089.7599999998</v>
      </c>
      <c r="P92" s="2" t="s">
        <v>26</v>
      </c>
    </row>
    <row r="93" spans="1:16" x14ac:dyDescent="0.25">
      <c r="A93" s="2" t="s">
        <v>123</v>
      </c>
      <c r="B93" s="2" t="s">
        <v>42</v>
      </c>
      <c r="C93" s="2" t="s">
        <v>14</v>
      </c>
      <c r="D93" s="2" t="s">
        <v>15</v>
      </c>
      <c r="E93" s="2" t="str">
        <f>FlightOps[[#This Row],[Origin]]&amp;"-"&amp;FlightOps[[#This Row],[Destination]]</f>
        <v>Karachi-Islamabad</v>
      </c>
      <c r="F93" s="3">
        <v>46046.635416666701</v>
      </c>
      <c r="G93" s="26">
        <f>HOUR(FlightOps[[#This Row],[ScheduledDeparture]])</f>
        <v>15</v>
      </c>
      <c r="H93" s="22">
        <v>24</v>
      </c>
      <c r="I93" s="2" t="s">
        <v>31</v>
      </c>
      <c r="J93" s="2">
        <v>220</v>
      </c>
      <c r="K93" s="2">
        <v>151</v>
      </c>
      <c r="L93" s="19">
        <f>FlightOps[[#This Row],[SeatsSold]]/FlightOps[[#This Row],[SeatsAvailable]]</f>
        <v>0.6863636363636364</v>
      </c>
      <c r="M93" s="2" t="s">
        <v>25</v>
      </c>
      <c r="N93" s="4">
        <v>41601.519999999997</v>
      </c>
      <c r="O93" s="24">
        <f>FlightOps[[#This Row],[SeatsSold]]*FlightOps[[#This Row],[AvgTicketPrice]]</f>
        <v>6281829.5199999996</v>
      </c>
      <c r="P93" s="2" t="s">
        <v>39</v>
      </c>
    </row>
    <row r="94" spans="1:16" x14ac:dyDescent="0.25">
      <c r="A94" s="2" t="s">
        <v>124</v>
      </c>
      <c r="B94" s="2" t="s">
        <v>23</v>
      </c>
      <c r="C94" s="2" t="s">
        <v>24</v>
      </c>
      <c r="D94" s="2" t="s">
        <v>15</v>
      </c>
      <c r="E94" s="2" t="str">
        <f>FlightOps[[#This Row],[Origin]]&amp;"-"&amp;FlightOps[[#This Row],[Destination]]</f>
        <v>Lahore-Islamabad</v>
      </c>
      <c r="F94" s="3">
        <v>46152.635416666701</v>
      </c>
      <c r="G94" s="26">
        <f>HOUR(FlightOps[[#This Row],[ScheduledDeparture]])</f>
        <v>15</v>
      </c>
      <c r="H94" s="22">
        <v>17</v>
      </c>
      <c r="I94" s="2" t="s">
        <v>31</v>
      </c>
      <c r="J94" s="2">
        <v>220</v>
      </c>
      <c r="K94" s="2">
        <v>82</v>
      </c>
      <c r="L94" s="19">
        <f>FlightOps[[#This Row],[SeatsSold]]/FlightOps[[#This Row],[SeatsAvailable]]</f>
        <v>0.37272727272727274</v>
      </c>
      <c r="M94" s="2" t="s">
        <v>17</v>
      </c>
      <c r="N94" s="4">
        <v>56377.69</v>
      </c>
      <c r="O94" s="24">
        <f>FlightOps[[#This Row],[SeatsSold]]*FlightOps[[#This Row],[AvgTicketPrice]]</f>
        <v>4622970.58</v>
      </c>
      <c r="P94" s="2" t="s">
        <v>21</v>
      </c>
    </row>
    <row r="95" spans="1:16" x14ac:dyDescent="0.25">
      <c r="A95" s="2" t="s">
        <v>125</v>
      </c>
      <c r="B95" s="2" t="s">
        <v>13</v>
      </c>
      <c r="C95" s="2" t="s">
        <v>14</v>
      </c>
      <c r="D95" s="2" t="s">
        <v>30</v>
      </c>
      <c r="E95" s="2" t="str">
        <f>FlightOps[[#This Row],[Origin]]&amp;"-"&amp;FlightOps[[#This Row],[Destination]]</f>
        <v>Karachi-Dubai</v>
      </c>
      <c r="F95" s="3">
        <v>46106.65625</v>
      </c>
      <c r="G95" s="26">
        <f>HOUR(FlightOps[[#This Row],[ScheduledDeparture]])</f>
        <v>15</v>
      </c>
      <c r="H95" s="22">
        <v>37</v>
      </c>
      <c r="I95" s="2" t="s">
        <v>20</v>
      </c>
      <c r="J95" s="2">
        <v>72</v>
      </c>
      <c r="K95" s="2">
        <v>70</v>
      </c>
      <c r="L95" s="19">
        <f>FlightOps[[#This Row],[SeatsSold]]/FlightOps[[#This Row],[SeatsAvailable]]</f>
        <v>0.97222222222222221</v>
      </c>
      <c r="M95" s="2" t="s">
        <v>17</v>
      </c>
      <c r="N95" s="4">
        <v>13102.98</v>
      </c>
      <c r="O95" s="24">
        <f>FlightOps[[#This Row],[SeatsSold]]*FlightOps[[#This Row],[AvgTicketPrice]]</f>
        <v>917208.6</v>
      </c>
      <c r="P95" s="2" t="s">
        <v>49</v>
      </c>
    </row>
    <row r="96" spans="1:16" x14ac:dyDescent="0.25">
      <c r="A96" s="2" t="s">
        <v>126</v>
      </c>
      <c r="B96" s="2" t="s">
        <v>42</v>
      </c>
      <c r="C96" s="2" t="s">
        <v>14</v>
      </c>
      <c r="D96" s="2" t="s">
        <v>30</v>
      </c>
      <c r="E96" s="2" t="str">
        <f>FlightOps[[#This Row],[Origin]]&amp;"-"&amp;FlightOps[[#This Row],[Destination]]</f>
        <v>Karachi-Dubai</v>
      </c>
      <c r="F96" s="3">
        <v>45944.947916666701</v>
      </c>
      <c r="G96" s="26">
        <f>HOUR(FlightOps[[#This Row],[ScheduledDeparture]])</f>
        <v>22</v>
      </c>
      <c r="H96" s="22">
        <v>0</v>
      </c>
      <c r="I96" s="2" t="s">
        <v>35</v>
      </c>
      <c r="J96" s="2">
        <v>186</v>
      </c>
      <c r="K96" s="2">
        <v>166</v>
      </c>
      <c r="L96" s="19">
        <f>FlightOps[[#This Row],[SeatsSold]]/FlightOps[[#This Row],[SeatsAvailable]]</f>
        <v>0.89247311827956988</v>
      </c>
      <c r="M96" s="2" t="s">
        <v>25</v>
      </c>
      <c r="N96" s="4">
        <v>80193.88</v>
      </c>
      <c r="O96" s="24">
        <f>FlightOps[[#This Row],[SeatsSold]]*FlightOps[[#This Row],[AvgTicketPrice]]</f>
        <v>13312184.08</v>
      </c>
      <c r="P96" s="2" t="s">
        <v>18</v>
      </c>
    </row>
    <row r="97" spans="1:16" x14ac:dyDescent="0.25">
      <c r="A97" s="2" t="s">
        <v>127</v>
      </c>
      <c r="B97" s="2" t="s">
        <v>13</v>
      </c>
      <c r="C97" s="2" t="s">
        <v>14</v>
      </c>
      <c r="D97" s="2" t="s">
        <v>37</v>
      </c>
      <c r="E97" s="2" t="str">
        <f>FlightOps[[#This Row],[Origin]]&amp;"-"&amp;FlightOps[[#This Row],[Destination]]</f>
        <v>Karachi-Jeddah</v>
      </c>
      <c r="F97" s="3">
        <v>46129.65625</v>
      </c>
      <c r="G97" s="26">
        <f>HOUR(FlightOps[[#This Row],[ScheduledDeparture]])</f>
        <v>15</v>
      </c>
      <c r="H97" s="22">
        <v>20</v>
      </c>
      <c r="I97" s="2" t="s">
        <v>35</v>
      </c>
      <c r="J97" s="2">
        <v>186</v>
      </c>
      <c r="K97" s="2">
        <v>116</v>
      </c>
      <c r="L97" s="19">
        <f>FlightOps[[#This Row],[SeatsSold]]/FlightOps[[#This Row],[SeatsAvailable]]</f>
        <v>0.62365591397849462</v>
      </c>
      <c r="M97" s="2" t="s">
        <v>25</v>
      </c>
      <c r="N97" s="4">
        <v>84373.7</v>
      </c>
      <c r="O97" s="24">
        <f>FlightOps[[#This Row],[SeatsSold]]*FlightOps[[#This Row],[AvgTicketPrice]]</f>
        <v>9787349.1999999993</v>
      </c>
      <c r="P97" s="2" t="s">
        <v>39</v>
      </c>
    </row>
    <row r="98" spans="1:16" x14ac:dyDescent="0.25">
      <c r="A98" s="2" t="s">
        <v>128</v>
      </c>
      <c r="B98" s="2" t="s">
        <v>13</v>
      </c>
      <c r="C98" s="2" t="s">
        <v>14</v>
      </c>
      <c r="D98" s="2" t="s">
        <v>15</v>
      </c>
      <c r="E98" s="2" t="str">
        <f>FlightOps[[#This Row],[Origin]]&amp;"-"&amp;FlightOps[[#This Row],[Destination]]</f>
        <v>Karachi-Islamabad</v>
      </c>
      <c r="F98" s="3">
        <v>45994.822916666701</v>
      </c>
      <c r="G98" s="26">
        <f>HOUR(FlightOps[[#This Row],[ScheduledDeparture]])</f>
        <v>19</v>
      </c>
      <c r="H98" s="22">
        <v>0</v>
      </c>
      <c r="I98" s="2" t="s">
        <v>31</v>
      </c>
      <c r="J98" s="2">
        <v>220</v>
      </c>
      <c r="K98" s="2">
        <v>80</v>
      </c>
      <c r="L98" s="19">
        <f>FlightOps[[#This Row],[SeatsSold]]/FlightOps[[#This Row],[SeatsAvailable]]</f>
        <v>0.36363636363636365</v>
      </c>
      <c r="M98" s="2" t="s">
        <v>17</v>
      </c>
      <c r="N98" s="4">
        <v>13517.47</v>
      </c>
      <c r="O98" s="24">
        <f>FlightOps[[#This Row],[SeatsSold]]*FlightOps[[#This Row],[AvgTicketPrice]]</f>
        <v>1081397.5999999999</v>
      </c>
      <c r="P98" s="2" t="s">
        <v>18</v>
      </c>
    </row>
    <row r="99" spans="1:16" x14ac:dyDescent="0.25">
      <c r="A99" s="2" t="s">
        <v>129</v>
      </c>
      <c r="B99" s="2" t="s">
        <v>13</v>
      </c>
      <c r="C99" s="2" t="s">
        <v>14</v>
      </c>
      <c r="D99" s="2" t="s">
        <v>24</v>
      </c>
      <c r="E99" s="2" t="str">
        <f>FlightOps[[#This Row],[Origin]]&amp;"-"&amp;FlightOps[[#This Row],[Destination]]</f>
        <v>Karachi-Lahore</v>
      </c>
      <c r="F99" s="3">
        <v>45995.875</v>
      </c>
      <c r="G99" s="26">
        <f>HOUR(FlightOps[[#This Row],[ScheduledDeparture]])</f>
        <v>21</v>
      </c>
      <c r="H99" s="22">
        <v>18</v>
      </c>
      <c r="I99" s="2" t="s">
        <v>20</v>
      </c>
      <c r="J99" s="2">
        <v>72</v>
      </c>
      <c r="K99" s="2">
        <v>53</v>
      </c>
      <c r="L99" s="19">
        <f>FlightOps[[#This Row],[SeatsSold]]/FlightOps[[#This Row],[SeatsAvailable]]</f>
        <v>0.73611111111111116</v>
      </c>
      <c r="M99" s="2" t="s">
        <v>25</v>
      </c>
      <c r="N99" s="4">
        <v>68760.58</v>
      </c>
      <c r="O99" s="24">
        <f>FlightOps[[#This Row],[SeatsSold]]*FlightOps[[#This Row],[AvgTicketPrice]]</f>
        <v>3644310.74</v>
      </c>
      <c r="P99" s="2" t="s">
        <v>39</v>
      </c>
    </row>
    <row r="100" spans="1:16" x14ac:dyDescent="0.25">
      <c r="A100" s="2" t="s">
        <v>130</v>
      </c>
      <c r="B100" s="2" t="s">
        <v>42</v>
      </c>
      <c r="C100" s="2" t="s">
        <v>24</v>
      </c>
      <c r="D100" s="2" t="s">
        <v>28</v>
      </c>
      <c r="E100" s="2" t="str">
        <f>FlightOps[[#This Row],[Origin]]&amp;"-"&amp;FlightOps[[#This Row],[Destination]]</f>
        <v>Lahore-London</v>
      </c>
      <c r="F100" s="3">
        <v>46054.635416666701</v>
      </c>
      <c r="G100" s="26">
        <f>HOUR(FlightOps[[#This Row],[ScheduledDeparture]])</f>
        <v>15</v>
      </c>
      <c r="H100" s="22">
        <v>38</v>
      </c>
      <c r="I100" s="2" t="s">
        <v>16</v>
      </c>
      <c r="J100" s="2">
        <v>180</v>
      </c>
      <c r="K100" s="2">
        <v>133</v>
      </c>
      <c r="L100" s="19">
        <f>FlightOps[[#This Row],[SeatsSold]]/FlightOps[[#This Row],[SeatsAvailable]]</f>
        <v>0.73888888888888893</v>
      </c>
      <c r="M100" s="2" t="s">
        <v>25</v>
      </c>
      <c r="N100" s="4">
        <v>89132.55</v>
      </c>
      <c r="O100" s="24">
        <f>FlightOps[[#This Row],[SeatsSold]]*FlightOps[[#This Row],[AvgTicketPrice]]</f>
        <v>11854629.15</v>
      </c>
      <c r="P100" s="2" t="s">
        <v>21</v>
      </c>
    </row>
    <row r="101" spans="1:16" x14ac:dyDescent="0.25">
      <c r="A101" s="2" t="s">
        <v>131</v>
      </c>
      <c r="B101" s="2" t="s">
        <v>33</v>
      </c>
      <c r="C101" s="2" t="s">
        <v>14</v>
      </c>
      <c r="D101" s="2" t="s">
        <v>30</v>
      </c>
      <c r="E101" s="2" t="str">
        <f>FlightOps[[#This Row],[Origin]]&amp;"-"&amp;FlightOps[[#This Row],[Destination]]</f>
        <v>Karachi-Dubai</v>
      </c>
      <c r="F101" s="3">
        <v>45880.21875</v>
      </c>
      <c r="G101" s="26">
        <f>HOUR(FlightOps[[#This Row],[ScheduledDeparture]])</f>
        <v>5</v>
      </c>
      <c r="H101" s="22">
        <v>20</v>
      </c>
      <c r="I101" s="2" t="s">
        <v>35</v>
      </c>
      <c r="J101" s="2">
        <v>186</v>
      </c>
      <c r="K101" s="2">
        <v>154</v>
      </c>
      <c r="L101" s="19">
        <f>FlightOps[[#This Row],[SeatsSold]]/FlightOps[[#This Row],[SeatsAvailable]]</f>
        <v>0.82795698924731187</v>
      </c>
      <c r="M101" s="2" t="s">
        <v>25</v>
      </c>
      <c r="N101" s="4">
        <v>142727.9</v>
      </c>
      <c r="O101" s="24">
        <f>FlightOps[[#This Row],[SeatsSold]]*FlightOps[[#This Row],[AvgTicketPrice]]</f>
        <v>21980096.599999998</v>
      </c>
      <c r="P101" s="2" t="s">
        <v>26</v>
      </c>
    </row>
    <row r="102" spans="1:16" x14ac:dyDescent="0.25">
      <c r="A102" s="2" t="s">
        <v>132</v>
      </c>
      <c r="B102" s="2" t="s">
        <v>42</v>
      </c>
      <c r="C102" s="2" t="s">
        <v>14</v>
      </c>
      <c r="D102" s="2" t="s">
        <v>30</v>
      </c>
      <c r="E102" s="2" t="str">
        <f>FlightOps[[#This Row],[Origin]]&amp;"-"&amp;FlightOps[[#This Row],[Destination]]</f>
        <v>Karachi-Dubai</v>
      </c>
      <c r="F102" s="3">
        <v>45955.364583333299</v>
      </c>
      <c r="G102" s="26">
        <f>HOUR(FlightOps[[#This Row],[ScheduledDeparture]])</f>
        <v>8</v>
      </c>
      <c r="H102" s="22">
        <v>0</v>
      </c>
      <c r="I102" s="2" t="s">
        <v>35</v>
      </c>
      <c r="J102" s="2">
        <v>186</v>
      </c>
      <c r="K102" s="2">
        <v>159</v>
      </c>
      <c r="L102" s="19">
        <f>FlightOps[[#This Row],[SeatsSold]]/FlightOps[[#This Row],[SeatsAvailable]]</f>
        <v>0.85483870967741937</v>
      </c>
      <c r="M102" s="2" t="s">
        <v>25</v>
      </c>
      <c r="N102" s="4">
        <v>76525.47</v>
      </c>
      <c r="O102" s="24">
        <f>FlightOps[[#This Row],[SeatsSold]]*FlightOps[[#This Row],[AvgTicketPrice]]</f>
        <v>12167549.73</v>
      </c>
      <c r="P102" s="2" t="s">
        <v>18</v>
      </c>
    </row>
    <row r="103" spans="1:16" x14ac:dyDescent="0.25">
      <c r="A103" s="2" t="s">
        <v>133</v>
      </c>
      <c r="B103" s="2" t="s">
        <v>23</v>
      </c>
      <c r="C103" s="2" t="s">
        <v>15</v>
      </c>
      <c r="D103" s="2" t="s">
        <v>37</v>
      </c>
      <c r="E103" s="2" t="str">
        <f>FlightOps[[#This Row],[Origin]]&amp;"-"&amp;FlightOps[[#This Row],[Destination]]</f>
        <v>Islamabad-Jeddah</v>
      </c>
      <c r="F103" s="3">
        <v>45875.479166666701</v>
      </c>
      <c r="G103" s="26">
        <f>HOUR(FlightOps[[#This Row],[ScheduledDeparture]])</f>
        <v>11</v>
      </c>
      <c r="H103" s="22">
        <v>25</v>
      </c>
      <c r="I103" s="2" t="s">
        <v>20</v>
      </c>
      <c r="J103" s="2">
        <v>72</v>
      </c>
      <c r="K103" s="2">
        <v>62</v>
      </c>
      <c r="L103" s="19">
        <f>FlightOps[[#This Row],[SeatsSold]]/FlightOps[[#This Row],[SeatsAvailable]]</f>
        <v>0.86111111111111116</v>
      </c>
      <c r="M103" s="2" t="s">
        <v>25</v>
      </c>
      <c r="N103" s="4">
        <v>91867.61</v>
      </c>
      <c r="O103" s="24">
        <f>FlightOps[[#This Row],[SeatsSold]]*FlightOps[[#This Row],[AvgTicketPrice]]</f>
        <v>5695791.8200000003</v>
      </c>
      <c r="P103" s="2" t="s">
        <v>26</v>
      </c>
    </row>
    <row r="104" spans="1:16" x14ac:dyDescent="0.25">
      <c r="A104" s="2" t="s">
        <v>134</v>
      </c>
      <c r="B104" s="2" t="s">
        <v>13</v>
      </c>
      <c r="C104" s="2" t="s">
        <v>14</v>
      </c>
      <c r="D104" s="2" t="s">
        <v>30</v>
      </c>
      <c r="E104" s="2" t="str">
        <f>FlightOps[[#This Row],[Origin]]&amp;"-"&amp;FlightOps[[#This Row],[Destination]]</f>
        <v>Karachi-Dubai</v>
      </c>
      <c r="F104" s="3">
        <v>46089.760416666701</v>
      </c>
      <c r="G104" s="26">
        <f>HOUR(FlightOps[[#This Row],[ScheduledDeparture]])</f>
        <v>18</v>
      </c>
      <c r="H104" s="22">
        <v>32</v>
      </c>
      <c r="I104" s="2" t="s">
        <v>16</v>
      </c>
      <c r="J104" s="2">
        <v>180</v>
      </c>
      <c r="K104" s="2">
        <v>70</v>
      </c>
      <c r="L104" s="19">
        <f>FlightOps[[#This Row],[SeatsSold]]/FlightOps[[#This Row],[SeatsAvailable]]</f>
        <v>0.3888888888888889</v>
      </c>
      <c r="M104" s="2" t="s">
        <v>17</v>
      </c>
      <c r="N104" s="4">
        <v>11591.36</v>
      </c>
      <c r="O104" s="24">
        <f>FlightOps[[#This Row],[SeatsSold]]*FlightOps[[#This Row],[AvgTicketPrice]]</f>
        <v>811395.20000000007</v>
      </c>
      <c r="P104" s="2" t="s">
        <v>49</v>
      </c>
    </row>
    <row r="105" spans="1:16" x14ac:dyDescent="0.25">
      <c r="A105" s="2" t="s">
        <v>135</v>
      </c>
      <c r="B105" s="2" t="s">
        <v>13</v>
      </c>
      <c r="C105" s="2" t="s">
        <v>24</v>
      </c>
      <c r="D105" s="2" t="s">
        <v>28</v>
      </c>
      <c r="E105" s="2" t="str">
        <f>FlightOps[[#This Row],[Origin]]&amp;"-"&amp;FlightOps[[#This Row],[Destination]]</f>
        <v>Lahore-London</v>
      </c>
      <c r="F105" s="3">
        <v>45847.78125</v>
      </c>
      <c r="G105" s="26">
        <f>HOUR(FlightOps[[#This Row],[ScheduledDeparture]])</f>
        <v>18</v>
      </c>
      <c r="H105" s="22">
        <v>35</v>
      </c>
      <c r="I105" s="2" t="s">
        <v>16</v>
      </c>
      <c r="J105" s="2">
        <v>180</v>
      </c>
      <c r="K105" s="2">
        <v>81</v>
      </c>
      <c r="L105" s="19">
        <f>FlightOps[[#This Row],[SeatsSold]]/FlightOps[[#This Row],[SeatsAvailable]]</f>
        <v>0.45</v>
      </c>
      <c r="M105" s="2" t="s">
        <v>17</v>
      </c>
      <c r="N105" s="4">
        <v>10899.66</v>
      </c>
      <c r="O105" s="24">
        <f>FlightOps[[#This Row],[SeatsSold]]*FlightOps[[#This Row],[AvgTicketPrice]]</f>
        <v>882872.46</v>
      </c>
      <c r="P105" s="2" t="s">
        <v>39</v>
      </c>
    </row>
    <row r="106" spans="1:16" x14ac:dyDescent="0.25">
      <c r="A106" s="2" t="s">
        <v>136</v>
      </c>
      <c r="B106" s="2" t="s">
        <v>23</v>
      </c>
      <c r="C106" s="2" t="s">
        <v>14</v>
      </c>
      <c r="D106" s="2" t="s">
        <v>37</v>
      </c>
      <c r="E106" s="2" t="str">
        <f>FlightOps[[#This Row],[Origin]]&amp;"-"&amp;FlightOps[[#This Row],[Destination]]</f>
        <v>Karachi-Jeddah</v>
      </c>
      <c r="F106" s="3">
        <v>46044.96875</v>
      </c>
      <c r="G106" s="26">
        <f>HOUR(FlightOps[[#This Row],[ScheduledDeparture]])</f>
        <v>23</v>
      </c>
      <c r="H106" s="22">
        <v>15</v>
      </c>
      <c r="I106" s="2" t="s">
        <v>31</v>
      </c>
      <c r="J106" s="2">
        <v>220</v>
      </c>
      <c r="K106" s="2">
        <v>178</v>
      </c>
      <c r="L106" s="19">
        <f>FlightOps[[#This Row],[SeatsSold]]/FlightOps[[#This Row],[SeatsAvailable]]</f>
        <v>0.80909090909090908</v>
      </c>
      <c r="M106" s="2" t="s">
        <v>17</v>
      </c>
      <c r="N106" s="4">
        <v>58305.74</v>
      </c>
      <c r="O106" s="24">
        <f>FlightOps[[#This Row],[SeatsSold]]*FlightOps[[#This Row],[AvgTicketPrice]]</f>
        <v>10378421.719999999</v>
      </c>
      <c r="P106" s="2" t="s">
        <v>26</v>
      </c>
    </row>
    <row r="107" spans="1:16" x14ac:dyDescent="0.25">
      <c r="A107" s="2" t="s">
        <v>137</v>
      </c>
      <c r="B107" s="2" t="s">
        <v>42</v>
      </c>
      <c r="C107" s="2" t="s">
        <v>24</v>
      </c>
      <c r="D107" s="2" t="s">
        <v>28</v>
      </c>
      <c r="E107" s="2" t="str">
        <f>FlightOps[[#This Row],[Origin]]&amp;"-"&amp;FlightOps[[#This Row],[Destination]]</f>
        <v>Lahore-London</v>
      </c>
      <c r="F107" s="3">
        <v>45930.3125</v>
      </c>
      <c r="G107" s="26">
        <f>HOUR(FlightOps[[#This Row],[ScheduledDeparture]])</f>
        <v>7</v>
      </c>
      <c r="H107" s="22">
        <v>3</v>
      </c>
      <c r="I107" s="2" t="s">
        <v>35</v>
      </c>
      <c r="J107" s="2">
        <v>186</v>
      </c>
      <c r="K107" s="2">
        <v>153</v>
      </c>
      <c r="L107" s="19">
        <f>FlightOps[[#This Row],[SeatsSold]]/FlightOps[[#This Row],[SeatsAvailable]]</f>
        <v>0.82258064516129037</v>
      </c>
      <c r="M107" s="2" t="s">
        <v>17</v>
      </c>
      <c r="N107" s="4">
        <v>37365.22</v>
      </c>
      <c r="O107" s="24">
        <f>FlightOps[[#This Row],[SeatsSold]]*FlightOps[[#This Row],[AvgTicketPrice]]</f>
        <v>5716878.6600000001</v>
      </c>
      <c r="P107" s="2" t="s">
        <v>49</v>
      </c>
    </row>
    <row r="108" spans="1:16" x14ac:dyDescent="0.25">
      <c r="A108" s="2" t="s">
        <v>138</v>
      </c>
      <c r="B108" s="2" t="s">
        <v>13</v>
      </c>
      <c r="C108" s="2" t="s">
        <v>24</v>
      </c>
      <c r="D108" s="2" t="s">
        <v>30</v>
      </c>
      <c r="E108" s="2" t="str">
        <f>FlightOps[[#This Row],[Origin]]&amp;"-"&amp;FlightOps[[#This Row],[Destination]]</f>
        <v>Lahore-Dubai</v>
      </c>
      <c r="F108" s="3">
        <v>45971.583333333299</v>
      </c>
      <c r="G108" s="26">
        <f>HOUR(FlightOps[[#This Row],[ScheduledDeparture]])</f>
        <v>14</v>
      </c>
      <c r="H108" s="22">
        <v>34</v>
      </c>
      <c r="I108" s="2" t="s">
        <v>35</v>
      </c>
      <c r="J108" s="2">
        <v>186</v>
      </c>
      <c r="K108" s="2">
        <v>128</v>
      </c>
      <c r="L108" s="19">
        <f>FlightOps[[#This Row],[SeatsSold]]/FlightOps[[#This Row],[SeatsAvailable]]</f>
        <v>0.68817204301075274</v>
      </c>
      <c r="M108" s="2" t="s">
        <v>17</v>
      </c>
      <c r="N108" s="4">
        <v>8648.7800000000007</v>
      </c>
      <c r="O108" s="24">
        <f>FlightOps[[#This Row],[SeatsSold]]*FlightOps[[#This Row],[AvgTicketPrice]]</f>
        <v>1107043.8400000001</v>
      </c>
      <c r="P108" s="2" t="s">
        <v>21</v>
      </c>
    </row>
    <row r="109" spans="1:16" x14ac:dyDescent="0.25">
      <c r="A109" s="2" t="s">
        <v>139</v>
      </c>
      <c r="B109" s="2" t="s">
        <v>42</v>
      </c>
      <c r="C109" s="2" t="s">
        <v>15</v>
      </c>
      <c r="D109" s="2" t="s">
        <v>37</v>
      </c>
      <c r="E109" s="2" t="str">
        <f>FlightOps[[#This Row],[Origin]]&amp;"-"&amp;FlightOps[[#This Row],[Destination]]</f>
        <v>Islamabad-Jeddah</v>
      </c>
      <c r="F109" s="3">
        <v>46141.875</v>
      </c>
      <c r="G109" s="26">
        <f>HOUR(FlightOps[[#This Row],[ScheduledDeparture]])</f>
        <v>21</v>
      </c>
      <c r="H109" s="22">
        <v>0</v>
      </c>
      <c r="I109" s="2" t="s">
        <v>31</v>
      </c>
      <c r="J109" s="2">
        <v>220</v>
      </c>
      <c r="K109" s="2">
        <v>118</v>
      </c>
      <c r="L109" s="19">
        <f>FlightOps[[#This Row],[SeatsSold]]/FlightOps[[#This Row],[SeatsAvailable]]</f>
        <v>0.53636363636363638</v>
      </c>
      <c r="M109" s="2" t="s">
        <v>17</v>
      </c>
      <c r="N109" s="4">
        <v>50403.72</v>
      </c>
      <c r="O109" s="24">
        <f>FlightOps[[#This Row],[SeatsSold]]*FlightOps[[#This Row],[AvgTicketPrice]]</f>
        <v>5947638.96</v>
      </c>
      <c r="P109" s="2" t="s">
        <v>18</v>
      </c>
    </row>
    <row r="110" spans="1:16" x14ac:dyDescent="0.25">
      <c r="A110" s="2" t="s">
        <v>140</v>
      </c>
      <c r="B110" s="2" t="s">
        <v>33</v>
      </c>
      <c r="C110" s="2" t="s">
        <v>14</v>
      </c>
      <c r="D110" s="2" t="s">
        <v>37</v>
      </c>
      <c r="E110" s="2" t="str">
        <f>FlightOps[[#This Row],[Origin]]&amp;"-"&amp;FlightOps[[#This Row],[Destination]]</f>
        <v>Karachi-Jeddah</v>
      </c>
      <c r="F110" s="3">
        <v>46153.59375</v>
      </c>
      <c r="G110" s="26">
        <f>HOUR(FlightOps[[#This Row],[ScheduledDeparture]])</f>
        <v>14</v>
      </c>
      <c r="H110" s="22">
        <v>43</v>
      </c>
      <c r="I110" s="2" t="s">
        <v>16</v>
      </c>
      <c r="J110" s="2">
        <v>180</v>
      </c>
      <c r="K110" s="2">
        <v>162</v>
      </c>
      <c r="L110" s="19">
        <f>FlightOps[[#This Row],[SeatsSold]]/FlightOps[[#This Row],[SeatsAvailable]]</f>
        <v>0.9</v>
      </c>
      <c r="M110" s="2" t="s">
        <v>25</v>
      </c>
      <c r="N110" s="4">
        <v>94432.61</v>
      </c>
      <c r="O110" s="24">
        <f>FlightOps[[#This Row],[SeatsSold]]*FlightOps[[#This Row],[AvgTicketPrice]]</f>
        <v>15298082.82</v>
      </c>
      <c r="P110" s="2" t="s">
        <v>49</v>
      </c>
    </row>
    <row r="111" spans="1:16" x14ac:dyDescent="0.25">
      <c r="A111" s="2" t="s">
        <v>141</v>
      </c>
      <c r="B111" s="2" t="s">
        <v>23</v>
      </c>
      <c r="C111" s="2" t="s">
        <v>14</v>
      </c>
      <c r="D111" s="2" t="s">
        <v>30</v>
      </c>
      <c r="E111" s="2" t="str">
        <f>FlightOps[[#This Row],[Origin]]&amp;"-"&amp;FlightOps[[#This Row],[Destination]]</f>
        <v>Karachi-Dubai</v>
      </c>
      <c r="F111" s="3">
        <v>45958.541666666701</v>
      </c>
      <c r="G111" s="26">
        <f>HOUR(FlightOps[[#This Row],[ScheduledDeparture]])</f>
        <v>13</v>
      </c>
      <c r="H111" s="22">
        <v>0</v>
      </c>
      <c r="I111" s="2" t="s">
        <v>31</v>
      </c>
      <c r="J111" s="2">
        <v>220</v>
      </c>
      <c r="K111" s="2">
        <v>178</v>
      </c>
      <c r="L111" s="19">
        <f>FlightOps[[#This Row],[SeatsSold]]/FlightOps[[#This Row],[SeatsAvailable]]</f>
        <v>0.80909090909090908</v>
      </c>
      <c r="M111" s="2" t="s">
        <v>17</v>
      </c>
      <c r="N111" s="4">
        <v>38833.919999999998</v>
      </c>
      <c r="O111" s="24">
        <f>FlightOps[[#This Row],[SeatsSold]]*FlightOps[[#This Row],[AvgTicketPrice]]</f>
        <v>6912437.7599999998</v>
      </c>
      <c r="P111" s="2" t="s">
        <v>18</v>
      </c>
    </row>
    <row r="112" spans="1:16" x14ac:dyDescent="0.25">
      <c r="A112" s="2" t="s">
        <v>142</v>
      </c>
      <c r="B112" s="2" t="s">
        <v>33</v>
      </c>
      <c r="C112" s="2" t="s">
        <v>24</v>
      </c>
      <c r="D112" s="2" t="s">
        <v>15</v>
      </c>
      <c r="E112" s="2" t="str">
        <f>FlightOps[[#This Row],[Origin]]&amp;"-"&amp;FlightOps[[#This Row],[Destination]]</f>
        <v>Lahore-Islamabad</v>
      </c>
      <c r="F112" s="3">
        <v>45887.427083333299</v>
      </c>
      <c r="G112" s="26">
        <f>HOUR(FlightOps[[#This Row],[ScheduledDeparture]])</f>
        <v>10</v>
      </c>
      <c r="H112" s="22">
        <v>4</v>
      </c>
      <c r="I112" s="2" t="s">
        <v>35</v>
      </c>
      <c r="J112" s="2">
        <v>186</v>
      </c>
      <c r="K112" s="2">
        <v>133</v>
      </c>
      <c r="L112" s="19">
        <f>FlightOps[[#This Row],[SeatsSold]]/FlightOps[[#This Row],[SeatsAvailable]]</f>
        <v>0.71505376344086025</v>
      </c>
      <c r="M112" s="2" t="s">
        <v>25</v>
      </c>
      <c r="N112" s="4">
        <v>72344.72</v>
      </c>
      <c r="O112" s="24">
        <f>FlightOps[[#This Row],[SeatsSold]]*FlightOps[[#This Row],[AvgTicketPrice]]</f>
        <v>9621847.7599999998</v>
      </c>
      <c r="P112" s="2" t="s">
        <v>39</v>
      </c>
    </row>
    <row r="113" spans="1:16" x14ac:dyDescent="0.25">
      <c r="A113" s="2" t="s">
        <v>143</v>
      </c>
      <c r="B113" s="2" t="s">
        <v>33</v>
      </c>
      <c r="C113" s="2" t="s">
        <v>14</v>
      </c>
      <c r="D113" s="2" t="s">
        <v>30</v>
      </c>
      <c r="E113" s="2" t="str">
        <f>FlightOps[[#This Row],[Origin]]&amp;"-"&amp;FlightOps[[#This Row],[Destination]]</f>
        <v>Karachi-Dubai</v>
      </c>
      <c r="F113" s="3">
        <v>45941.25</v>
      </c>
      <c r="G113" s="26">
        <f>HOUR(FlightOps[[#This Row],[ScheduledDeparture]])</f>
        <v>6</v>
      </c>
      <c r="H113" s="22">
        <v>25</v>
      </c>
      <c r="I113" s="2" t="s">
        <v>20</v>
      </c>
      <c r="J113" s="2">
        <v>72</v>
      </c>
      <c r="K113" s="2">
        <v>64</v>
      </c>
      <c r="L113" s="19">
        <f>FlightOps[[#This Row],[SeatsSold]]/FlightOps[[#This Row],[SeatsAvailable]]</f>
        <v>0.88888888888888884</v>
      </c>
      <c r="M113" s="2" t="s">
        <v>25</v>
      </c>
      <c r="N113" s="4">
        <v>77603.7</v>
      </c>
      <c r="O113" s="24">
        <f>FlightOps[[#This Row],[SeatsSold]]*FlightOps[[#This Row],[AvgTicketPrice]]</f>
        <v>4966636.8</v>
      </c>
      <c r="P113" s="2" t="s">
        <v>49</v>
      </c>
    </row>
    <row r="114" spans="1:16" x14ac:dyDescent="0.25">
      <c r="A114" s="2" t="s">
        <v>144</v>
      </c>
      <c r="B114" s="2" t="s">
        <v>13</v>
      </c>
      <c r="C114" s="2" t="s">
        <v>14</v>
      </c>
      <c r="D114" s="2" t="s">
        <v>15</v>
      </c>
      <c r="E114" s="2" t="str">
        <f>FlightOps[[#This Row],[Origin]]&amp;"-"&amp;FlightOps[[#This Row],[Destination]]</f>
        <v>Karachi-Islamabad</v>
      </c>
      <c r="F114" s="3">
        <v>45908.802083333299</v>
      </c>
      <c r="G114" s="26">
        <f>HOUR(FlightOps[[#This Row],[ScheduledDeparture]])</f>
        <v>19</v>
      </c>
      <c r="H114" s="22">
        <v>0</v>
      </c>
      <c r="I114" s="2" t="s">
        <v>31</v>
      </c>
      <c r="J114" s="2">
        <v>220</v>
      </c>
      <c r="K114" s="2">
        <v>203</v>
      </c>
      <c r="L114" s="19">
        <f>FlightOps[[#This Row],[SeatsSold]]/FlightOps[[#This Row],[SeatsAvailable]]</f>
        <v>0.92272727272727273</v>
      </c>
      <c r="M114" s="2" t="s">
        <v>25</v>
      </c>
      <c r="N114" s="4">
        <v>58715.61</v>
      </c>
      <c r="O114" s="24">
        <f>FlightOps[[#This Row],[SeatsSold]]*FlightOps[[#This Row],[AvgTicketPrice]]</f>
        <v>11919268.83</v>
      </c>
      <c r="P114" s="2" t="s">
        <v>18</v>
      </c>
    </row>
    <row r="115" spans="1:16" x14ac:dyDescent="0.25">
      <c r="A115" s="2" t="s">
        <v>145</v>
      </c>
      <c r="B115" s="2" t="s">
        <v>33</v>
      </c>
      <c r="C115" s="2" t="s">
        <v>24</v>
      </c>
      <c r="D115" s="2" t="s">
        <v>30</v>
      </c>
      <c r="E115" s="2" t="str">
        <f>FlightOps[[#This Row],[Origin]]&amp;"-"&amp;FlightOps[[#This Row],[Destination]]</f>
        <v>Lahore-Dubai</v>
      </c>
      <c r="F115" s="3">
        <v>45929.958333333299</v>
      </c>
      <c r="G115" s="26">
        <f>HOUR(FlightOps[[#This Row],[ScheduledDeparture]])</f>
        <v>23</v>
      </c>
      <c r="H115" s="22">
        <v>21</v>
      </c>
      <c r="I115" s="2" t="s">
        <v>31</v>
      </c>
      <c r="J115" s="2">
        <v>220</v>
      </c>
      <c r="K115" s="2">
        <v>141</v>
      </c>
      <c r="L115" s="19">
        <f>FlightOps[[#This Row],[SeatsSold]]/FlightOps[[#This Row],[SeatsAvailable]]</f>
        <v>0.64090909090909087</v>
      </c>
      <c r="M115" s="2" t="s">
        <v>17</v>
      </c>
      <c r="N115" s="4">
        <v>36387.379999999997</v>
      </c>
      <c r="O115" s="24">
        <f>FlightOps[[#This Row],[SeatsSold]]*FlightOps[[#This Row],[AvgTicketPrice]]</f>
        <v>5130620.58</v>
      </c>
      <c r="P115" s="2" t="s">
        <v>39</v>
      </c>
    </row>
    <row r="116" spans="1:16" x14ac:dyDescent="0.25">
      <c r="A116" s="2" t="s">
        <v>146</v>
      </c>
      <c r="B116" s="2" t="s">
        <v>23</v>
      </c>
      <c r="C116" s="2" t="s">
        <v>15</v>
      </c>
      <c r="D116" s="2" t="s">
        <v>37</v>
      </c>
      <c r="E116" s="2" t="str">
        <f>FlightOps[[#This Row],[Origin]]&amp;"-"&amp;FlightOps[[#This Row],[Destination]]</f>
        <v>Islamabad-Jeddah</v>
      </c>
      <c r="F116" s="3">
        <v>45994.260416666701</v>
      </c>
      <c r="G116" s="26">
        <f>HOUR(FlightOps[[#This Row],[ScheduledDeparture]])</f>
        <v>6</v>
      </c>
      <c r="H116" s="22">
        <v>13</v>
      </c>
      <c r="I116" s="2" t="s">
        <v>31</v>
      </c>
      <c r="J116" s="2">
        <v>220</v>
      </c>
      <c r="K116" s="2">
        <v>81</v>
      </c>
      <c r="L116" s="19">
        <f>FlightOps[[#This Row],[SeatsSold]]/FlightOps[[#This Row],[SeatsAvailable]]</f>
        <v>0.36818181818181817</v>
      </c>
      <c r="M116" s="2" t="s">
        <v>25</v>
      </c>
      <c r="N116" s="4">
        <v>112256.1</v>
      </c>
      <c r="O116" s="24">
        <f>FlightOps[[#This Row],[SeatsSold]]*FlightOps[[#This Row],[AvgTicketPrice]]</f>
        <v>9092744.0999999996</v>
      </c>
      <c r="P116" s="2" t="s">
        <v>21</v>
      </c>
    </row>
    <row r="117" spans="1:16" x14ac:dyDescent="0.25">
      <c r="A117" s="2" t="s">
        <v>147</v>
      </c>
      <c r="B117" s="2" t="s">
        <v>23</v>
      </c>
      <c r="C117" s="2" t="s">
        <v>14</v>
      </c>
      <c r="D117" s="2" t="s">
        <v>15</v>
      </c>
      <c r="E117" s="2" t="str">
        <f>FlightOps[[#This Row],[Origin]]&amp;"-"&amp;FlightOps[[#This Row],[Destination]]</f>
        <v>Karachi-Islamabad</v>
      </c>
      <c r="F117" s="3">
        <v>45943.552083333299</v>
      </c>
      <c r="G117" s="26">
        <f>HOUR(FlightOps[[#This Row],[ScheduledDeparture]])</f>
        <v>13</v>
      </c>
      <c r="H117" s="22">
        <v>14</v>
      </c>
      <c r="I117" s="2" t="s">
        <v>20</v>
      </c>
      <c r="J117" s="2">
        <v>72</v>
      </c>
      <c r="K117" s="2">
        <v>45</v>
      </c>
      <c r="L117" s="19">
        <f>FlightOps[[#This Row],[SeatsSold]]/FlightOps[[#This Row],[SeatsAvailable]]</f>
        <v>0.625</v>
      </c>
      <c r="M117" s="2" t="s">
        <v>25</v>
      </c>
      <c r="N117" s="4">
        <v>48998.47</v>
      </c>
      <c r="O117" s="24">
        <f>FlightOps[[#This Row],[SeatsSold]]*FlightOps[[#This Row],[AvgTicketPrice]]</f>
        <v>2204931.15</v>
      </c>
      <c r="P117" s="2" t="s">
        <v>39</v>
      </c>
    </row>
    <row r="118" spans="1:16" x14ac:dyDescent="0.25">
      <c r="A118" s="2" t="s">
        <v>148</v>
      </c>
      <c r="B118" s="2" t="s">
        <v>13</v>
      </c>
      <c r="C118" s="2" t="s">
        <v>24</v>
      </c>
      <c r="D118" s="2" t="s">
        <v>15</v>
      </c>
      <c r="E118" s="2" t="str">
        <f>FlightOps[[#This Row],[Origin]]&amp;"-"&amp;FlightOps[[#This Row],[Destination]]</f>
        <v>Lahore-Islamabad</v>
      </c>
      <c r="F118" s="3">
        <v>45981.833333333299</v>
      </c>
      <c r="G118" s="26">
        <f>HOUR(FlightOps[[#This Row],[ScheduledDeparture]])</f>
        <v>20</v>
      </c>
      <c r="H118" s="22">
        <v>32</v>
      </c>
      <c r="I118" s="2" t="s">
        <v>20</v>
      </c>
      <c r="J118" s="2">
        <v>72</v>
      </c>
      <c r="K118" s="2">
        <v>35</v>
      </c>
      <c r="L118" s="19">
        <f>FlightOps[[#This Row],[SeatsSold]]/FlightOps[[#This Row],[SeatsAvailable]]</f>
        <v>0.4861111111111111</v>
      </c>
      <c r="M118" s="2" t="s">
        <v>17</v>
      </c>
      <c r="N118" s="4">
        <v>13381.78</v>
      </c>
      <c r="O118" s="24">
        <f>FlightOps[[#This Row],[SeatsSold]]*FlightOps[[#This Row],[AvgTicketPrice]]</f>
        <v>468362.30000000005</v>
      </c>
      <c r="P118" s="2" t="s">
        <v>39</v>
      </c>
    </row>
    <row r="119" spans="1:16" x14ac:dyDescent="0.25">
      <c r="A119" s="2" t="s">
        <v>149</v>
      </c>
      <c r="B119" s="2" t="s">
        <v>33</v>
      </c>
      <c r="C119" s="2" t="s">
        <v>14</v>
      </c>
      <c r="D119" s="2" t="s">
        <v>37</v>
      </c>
      <c r="E119" s="2" t="str">
        <f>FlightOps[[#This Row],[Origin]]&amp;"-"&amp;FlightOps[[#This Row],[Destination]]</f>
        <v>Karachi-Jeddah</v>
      </c>
      <c r="F119" s="3">
        <v>45904.166666666701</v>
      </c>
      <c r="G119" s="26">
        <f>HOUR(FlightOps[[#This Row],[ScheduledDeparture]])</f>
        <v>4</v>
      </c>
      <c r="H119" s="22">
        <v>35</v>
      </c>
      <c r="I119" s="2" t="s">
        <v>31</v>
      </c>
      <c r="J119" s="2">
        <v>220</v>
      </c>
      <c r="K119" s="2">
        <v>79</v>
      </c>
      <c r="L119" s="19">
        <f>FlightOps[[#This Row],[SeatsSold]]/FlightOps[[#This Row],[SeatsAvailable]]</f>
        <v>0.35909090909090907</v>
      </c>
      <c r="M119" s="2" t="s">
        <v>17</v>
      </c>
      <c r="N119" s="4">
        <v>34640.019999999997</v>
      </c>
      <c r="O119" s="24">
        <f>FlightOps[[#This Row],[SeatsSold]]*FlightOps[[#This Row],[AvgTicketPrice]]</f>
        <v>2736561.5799999996</v>
      </c>
      <c r="P119" s="2" t="s">
        <v>26</v>
      </c>
    </row>
    <row r="120" spans="1:16" x14ac:dyDescent="0.25">
      <c r="A120" s="2" t="s">
        <v>150</v>
      </c>
      <c r="B120" s="2" t="s">
        <v>42</v>
      </c>
      <c r="C120" s="2" t="s">
        <v>15</v>
      </c>
      <c r="D120" s="2" t="s">
        <v>37</v>
      </c>
      <c r="E120" s="2" t="str">
        <f>FlightOps[[#This Row],[Origin]]&amp;"-"&amp;FlightOps[[#This Row],[Destination]]</f>
        <v>Islamabad-Jeddah</v>
      </c>
      <c r="F120" s="3">
        <v>46074.822916666701</v>
      </c>
      <c r="G120" s="26">
        <f>HOUR(FlightOps[[#This Row],[ScheduledDeparture]])</f>
        <v>19</v>
      </c>
      <c r="H120" s="22">
        <v>8</v>
      </c>
      <c r="I120" s="2" t="s">
        <v>20</v>
      </c>
      <c r="J120" s="2">
        <v>72</v>
      </c>
      <c r="K120" s="2">
        <v>33</v>
      </c>
      <c r="L120" s="19">
        <f>FlightOps[[#This Row],[SeatsSold]]/FlightOps[[#This Row],[SeatsAvailable]]</f>
        <v>0.45833333333333331</v>
      </c>
      <c r="M120" s="2" t="s">
        <v>25</v>
      </c>
      <c r="N120" s="4">
        <v>98134.42</v>
      </c>
      <c r="O120" s="24">
        <f>FlightOps[[#This Row],[SeatsSold]]*FlightOps[[#This Row],[AvgTicketPrice]]</f>
        <v>3238435.86</v>
      </c>
      <c r="P120" s="2" t="s">
        <v>21</v>
      </c>
    </row>
    <row r="121" spans="1:16" x14ac:dyDescent="0.25">
      <c r="A121" s="2" t="s">
        <v>151</v>
      </c>
      <c r="B121" s="2" t="s">
        <v>33</v>
      </c>
      <c r="C121" s="2" t="s">
        <v>24</v>
      </c>
      <c r="D121" s="2" t="s">
        <v>15</v>
      </c>
      <c r="E121" s="2" t="str">
        <f>FlightOps[[#This Row],[Origin]]&amp;"-"&amp;FlightOps[[#This Row],[Destination]]</f>
        <v>Lahore-Islamabad</v>
      </c>
      <c r="F121" s="3">
        <v>45901.59375</v>
      </c>
      <c r="G121" s="26">
        <f>HOUR(FlightOps[[#This Row],[ScheduledDeparture]])</f>
        <v>14</v>
      </c>
      <c r="H121" s="22">
        <v>10</v>
      </c>
      <c r="I121" s="2" t="s">
        <v>20</v>
      </c>
      <c r="J121" s="2">
        <v>72</v>
      </c>
      <c r="K121" s="2">
        <v>53</v>
      </c>
      <c r="L121" s="19">
        <f>FlightOps[[#This Row],[SeatsSold]]/FlightOps[[#This Row],[SeatsAvailable]]</f>
        <v>0.73611111111111116</v>
      </c>
      <c r="M121" s="2" t="s">
        <v>17</v>
      </c>
      <c r="N121" s="4">
        <v>28059.98</v>
      </c>
      <c r="O121" s="24">
        <f>FlightOps[[#This Row],[SeatsSold]]*FlightOps[[#This Row],[AvgTicketPrice]]</f>
        <v>1487178.94</v>
      </c>
      <c r="P121" s="2" t="s">
        <v>21</v>
      </c>
    </row>
    <row r="122" spans="1:16" x14ac:dyDescent="0.25">
      <c r="A122" s="2" t="s">
        <v>152</v>
      </c>
      <c r="B122" s="2" t="s">
        <v>42</v>
      </c>
      <c r="C122" s="2" t="s">
        <v>15</v>
      </c>
      <c r="D122" s="2" t="s">
        <v>37</v>
      </c>
      <c r="E122" s="2" t="str">
        <f>FlightOps[[#This Row],[Origin]]&amp;"-"&amp;FlightOps[[#This Row],[Destination]]</f>
        <v>Islamabad-Jeddah</v>
      </c>
      <c r="F122" s="3">
        <v>45973.864583333299</v>
      </c>
      <c r="G122" s="26">
        <f>HOUR(FlightOps[[#This Row],[ScheduledDeparture]])</f>
        <v>20</v>
      </c>
      <c r="H122" s="22">
        <v>25</v>
      </c>
      <c r="I122" s="2" t="s">
        <v>16</v>
      </c>
      <c r="J122" s="2">
        <v>180</v>
      </c>
      <c r="K122" s="2">
        <v>64</v>
      </c>
      <c r="L122" s="19">
        <f>FlightOps[[#This Row],[SeatsSold]]/FlightOps[[#This Row],[SeatsAvailable]]</f>
        <v>0.35555555555555557</v>
      </c>
      <c r="M122" s="2" t="s">
        <v>25</v>
      </c>
      <c r="N122" s="4">
        <v>104850.86</v>
      </c>
      <c r="O122" s="24">
        <f>FlightOps[[#This Row],[SeatsSold]]*FlightOps[[#This Row],[AvgTicketPrice]]</f>
        <v>6710455.04</v>
      </c>
      <c r="P122" s="2" t="s">
        <v>21</v>
      </c>
    </row>
    <row r="123" spans="1:16" x14ac:dyDescent="0.25">
      <c r="A123" s="2" t="s">
        <v>153</v>
      </c>
      <c r="B123" s="2" t="s">
        <v>42</v>
      </c>
      <c r="C123" s="2" t="s">
        <v>15</v>
      </c>
      <c r="D123" s="2" t="s">
        <v>37</v>
      </c>
      <c r="E123" s="2" t="str">
        <f>FlightOps[[#This Row],[Origin]]&amp;"-"&amp;FlightOps[[#This Row],[Destination]]</f>
        <v>Islamabad-Jeddah</v>
      </c>
      <c r="F123" s="3">
        <v>46145.40625</v>
      </c>
      <c r="G123" s="26">
        <f>HOUR(FlightOps[[#This Row],[ScheduledDeparture]])</f>
        <v>9</v>
      </c>
      <c r="H123" s="22">
        <v>10</v>
      </c>
      <c r="I123" s="2" t="s">
        <v>31</v>
      </c>
      <c r="J123" s="2">
        <v>220</v>
      </c>
      <c r="K123" s="2">
        <v>154</v>
      </c>
      <c r="L123" s="19">
        <f>FlightOps[[#This Row],[SeatsSold]]/FlightOps[[#This Row],[SeatsAvailable]]</f>
        <v>0.7</v>
      </c>
      <c r="M123" s="2" t="s">
        <v>25</v>
      </c>
      <c r="N123" s="4">
        <v>115520.09</v>
      </c>
      <c r="O123" s="24">
        <f>FlightOps[[#This Row],[SeatsSold]]*FlightOps[[#This Row],[AvgTicketPrice]]</f>
        <v>17790093.859999999</v>
      </c>
      <c r="P123" s="2" t="s">
        <v>39</v>
      </c>
    </row>
    <row r="124" spans="1:16" x14ac:dyDescent="0.25">
      <c r="A124" s="2" t="s">
        <v>154</v>
      </c>
      <c r="B124" s="2" t="s">
        <v>33</v>
      </c>
      <c r="C124" s="2" t="s">
        <v>14</v>
      </c>
      <c r="D124" s="2" t="s">
        <v>37</v>
      </c>
      <c r="E124" s="2" t="str">
        <f>FlightOps[[#This Row],[Origin]]&amp;"-"&amp;FlightOps[[#This Row],[Destination]]</f>
        <v>Karachi-Jeddah</v>
      </c>
      <c r="F124" s="3">
        <v>46121.46875</v>
      </c>
      <c r="G124" s="26">
        <f>HOUR(FlightOps[[#This Row],[ScheduledDeparture]])</f>
        <v>11</v>
      </c>
      <c r="H124" s="22">
        <v>3</v>
      </c>
      <c r="I124" s="2" t="s">
        <v>16</v>
      </c>
      <c r="J124" s="2">
        <v>180</v>
      </c>
      <c r="K124" s="2">
        <v>112</v>
      </c>
      <c r="L124" s="19">
        <f>FlightOps[[#This Row],[SeatsSold]]/FlightOps[[#This Row],[SeatsAvailable]]</f>
        <v>0.62222222222222223</v>
      </c>
      <c r="M124" s="2" t="s">
        <v>17</v>
      </c>
      <c r="N124" s="4">
        <v>55306.99</v>
      </c>
      <c r="O124" s="24">
        <f>FlightOps[[#This Row],[SeatsSold]]*FlightOps[[#This Row],[AvgTicketPrice]]</f>
        <v>6194382.8799999999</v>
      </c>
      <c r="P124" s="2" t="s">
        <v>39</v>
      </c>
    </row>
    <row r="125" spans="1:16" x14ac:dyDescent="0.25">
      <c r="A125" s="2" t="s">
        <v>155</v>
      </c>
      <c r="B125" s="2" t="s">
        <v>23</v>
      </c>
      <c r="C125" s="2" t="s">
        <v>24</v>
      </c>
      <c r="D125" s="2" t="s">
        <v>15</v>
      </c>
      <c r="E125" s="2" t="str">
        <f>FlightOps[[#This Row],[Origin]]&amp;"-"&amp;FlightOps[[#This Row],[Destination]]</f>
        <v>Lahore-Islamabad</v>
      </c>
      <c r="F125" s="3">
        <v>46076.25</v>
      </c>
      <c r="G125" s="26">
        <f>HOUR(FlightOps[[#This Row],[ScheduledDeparture]])</f>
        <v>6</v>
      </c>
      <c r="H125" s="22">
        <v>0</v>
      </c>
      <c r="I125" s="2" t="s">
        <v>20</v>
      </c>
      <c r="J125" s="2">
        <v>72</v>
      </c>
      <c r="K125" s="2">
        <v>69</v>
      </c>
      <c r="L125" s="19">
        <f>FlightOps[[#This Row],[SeatsSold]]/FlightOps[[#This Row],[SeatsAvailable]]</f>
        <v>0.95833333333333337</v>
      </c>
      <c r="M125" s="2" t="s">
        <v>17</v>
      </c>
      <c r="N125" s="4">
        <v>48248.11</v>
      </c>
      <c r="O125" s="24">
        <f>FlightOps[[#This Row],[SeatsSold]]*FlightOps[[#This Row],[AvgTicketPrice]]</f>
        <v>3329119.59</v>
      </c>
      <c r="P125" s="2" t="s">
        <v>18</v>
      </c>
    </row>
    <row r="126" spans="1:16" x14ac:dyDescent="0.25">
      <c r="A126" s="2" t="s">
        <v>156</v>
      </c>
      <c r="B126" s="2" t="s">
        <v>33</v>
      </c>
      <c r="C126" s="2" t="s">
        <v>24</v>
      </c>
      <c r="D126" s="2" t="s">
        <v>15</v>
      </c>
      <c r="E126" s="2" t="str">
        <f>FlightOps[[#This Row],[Origin]]&amp;"-"&amp;FlightOps[[#This Row],[Destination]]</f>
        <v>Lahore-Islamabad</v>
      </c>
      <c r="F126" s="3">
        <v>46007.854166666701</v>
      </c>
      <c r="G126" s="26">
        <f>HOUR(FlightOps[[#This Row],[ScheduledDeparture]])</f>
        <v>20</v>
      </c>
      <c r="H126" s="22">
        <v>0</v>
      </c>
      <c r="I126" s="2" t="s">
        <v>16</v>
      </c>
      <c r="J126" s="2">
        <v>180</v>
      </c>
      <c r="K126" s="2">
        <v>174</v>
      </c>
      <c r="L126" s="19">
        <f>FlightOps[[#This Row],[SeatsSold]]/FlightOps[[#This Row],[SeatsAvailable]]</f>
        <v>0.96666666666666667</v>
      </c>
      <c r="M126" s="2" t="s">
        <v>17</v>
      </c>
      <c r="N126" s="4">
        <v>43554.32</v>
      </c>
      <c r="O126" s="24">
        <f>FlightOps[[#This Row],[SeatsSold]]*FlightOps[[#This Row],[AvgTicketPrice]]</f>
        <v>7578451.6799999997</v>
      </c>
      <c r="P126" s="2" t="s">
        <v>18</v>
      </c>
    </row>
    <row r="127" spans="1:16" x14ac:dyDescent="0.25">
      <c r="A127" s="2" t="s">
        <v>157</v>
      </c>
      <c r="B127" s="2" t="s">
        <v>33</v>
      </c>
      <c r="C127" s="2" t="s">
        <v>24</v>
      </c>
      <c r="D127" s="2" t="s">
        <v>28</v>
      </c>
      <c r="E127" s="2" t="str">
        <f>FlightOps[[#This Row],[Origin]]&amp;"-"&amp;FlightOps[[#This Row],[Destination]]</f>
        <v>Lahore-London</v>
      </c>
      <c r="F127" s="3">
        <v>46006.34375</v>
      </c>
      <c r="G127" s="26">
        <f>HOUR(FlightOps[[#This Row],[ScheduledDeparture]])</f>
        <v>8</v>
      </c>
      <c r="H127" s="22">
        <v>0</v>
      </c>
      <c r="I127" s="2" t="s">
        <v>31</v>
      </c>
      <c r="J127" s="2">
        <v>220</v>
      </c>
      <c r="K127" s="2">
        <v>183</v>
      </c>
      <c r="L127" s="19">
        <f>FlightOps[[#This Row],[SeatsSold]]/FlightOps[[#This Row],[SeatsAvailable]]</f>
        <v>0.83181818181818179</v>
      </c>
      <c r="M127" s="2" t="s">
        <v>17</v>
      </c>
      <c r="N127" s="4">
        <v>19724.919999999998</v>
      </c>
      <c r="O127" s="24">
        <f>FlightOps[[#This Row],[SeatsSold]]*FlightOps[[#This Row],[AvgTicketPrice]]</f>
        <v>3609660.36</v>
      </c>
      <c r="P127" s="2" t="s">
        <v>18</v>
      </c>
    </row>
    <row r="128" spans="1:16" x14ac:dyDescent="0.25">
      <c r="A128" s="2" t="s">
        <v>158</v>
      </c>
      <c r="B128" s="2" t="s">
        <v>23</v>
      </c>
      <c r="C128" s="2" t="s">
        <v>14</v>
      </c>
      <c r="D128" s="2" t="s">
        <v>30</v>
      </c>
      <c r="E128" s="2" t="str">
        <f>FlightOps[[#This Row],[Origin]]&amp;"-"&amp;FlightOps[[#This Row],[Destination]]</f>
        <v>Karachi-Dubai</v>
      </c>
      <c r="F128" s="3">
        <v>46158.354166666701</v>
      </c>
      <c r="G128" s="26">
        <f>HOUR(FlightOps[[#This Row],[ScheduledDeparture]])</f>
        <v>8</v>
      </c>
      <c r="H128" s="22">
        <v>0</v>
      </c>
      <c r="I128" s="2" t="s">
        <v>20</v>
      </c>
      <c r="J128" s="2">
        <v>72</v>
      </c>
      <c r="K128" s="2">
        <v>53</v>
      </c>
      <c r="L128" s="19">
        <f>FlightOps[[#This Row],[SeatsSold]]/FlightOps[[#This Row],[SeatsAvailable]]</f>
        <v>0.73611111111111116</v>
      </c>
      <c r="M128" s="2" t="s">
        <v>25</v>
      </c>
      <c r="N128" s="4">
        <v>84764.11</v>
      </c>
      <c r="O128" s="24">
        <f>FlightOps[[#This Row],[SeatsSold]]*FlightOps[[#This Row],[AvgTicketPrice]]</f>
        <v>4492497.83</v>
      </c>
      <c r="P128" s="2" t="s">
        <v>18</v>
      </c>
    </row>
    <row r="129" spans="1:16" x14ac:dyDescent="0.25">
      <c r="A129" s="2" t="s">
        <v>159</v>
      </c>
      <c r="B129" s="2" t="s">
        <v>13</v>
      </c>
      <c r="C129" s="2" t="s">
        <v>24</v>
      </c>
      <c r="D129" s="2" t="s">
        <v>15</v>
      </c>
      <c r="E129" s="2" t="str">
        <f>FlightOps[[#This Row],[Origin]]&amp;"-"&amp;FlightOps[[#This Row],[Destination]]</f>
        <v>Lahore-Islamabad</v>
      </c>
      <c r="F129" s="3">
        <v>46067.833333333299</v>
      </c>
      <c r="G129" s="26">
        <f>HOUR(FlightOps[[#This Row],[ScheduledDeparture]])</f>
        <v>20</v>
      </c>
      <c r="H129" s="22">
        <v>6</v>
      </c>
      <c r="I129" s="2" t="s">
        <v>35</v>
      </c>
      <c r="J129" s="2">
        <v>186</v>
      </c>
      <c r="K129" s="2">
        <v>76</v>
      </c>
      <c r="L129" s="19">
        <f>FlightOps[[#This Row],[SeatsSold]]/FlightOps[[#This Row],[SeatsAvailable]]</f>
        <v>0.40860215053763443</v>
      </c>
      <c r="M129" s="2" t="s">
        <v>17</v>
      </c>
      <c r="N129" s="4">
        <v>17312.66</v>
      </c>
      <c r="O129" s="24">
        <f>FlightOps[[#This Row],[SeatsSold]]*FlightOps[[#This Row],[AvgTicketPrice]]</f>
        <v>1315762.1599999999</v>
      </c>
      <c r="P129" s="2" t="s">
        <v>49</v>
      </c>
    </row>
    <row r="130" spans="1:16" x14ac:dyDescent="0.25">
      <c r="A130" s="2" t="s">
        <v>160</v>
      </c>
      <c r="B130" s="2" t="s">
        <v>23</v>
      </c>
      <c r="C130" s="2" t="s">
        <v>14</v>
      </c>
      <c r="D130" s="2" t="s">
        <v>24</v>
      </c>
      <c r="E130" s="2" t="str">
        <f>FlightOps[[#This Row],[Origin]]&amp;"-"&amp;FlightOps[[#This Row],[Destination]]</f>
        <v>Karachi-Lahore</v>
      </c>
      <c r="F130" s="3">
        <v>45866.958333333299</v>
      </c>
      <c r="G130" s="26">
        <f>HOUR(FlightOps[[#This Row],[ScheduledDeparture]])</f>
        <v>23</v>
      </c>
      <c r="H130" s="22">
        <v>16</v>
      </c>
      <c r="I130" s="2" t="s">
        <v>16</v>
      </c>
      <c r="J130" s="2">
        <v>180</v>
      </c>
      <c r="K130" s="2">
        <v>144</v>
      </c>
      <c r="L130" s="19">
        <f>FlightOps[[#This Row],[SeatsSold]]/FlightOps[[#This Row],[SeatsAvailable]]</f>
        <v>0.8</v>
      </c>
      <c r="M130" s="2" t="s">
        <v>17</v>
      </c>
      <c r="N130" s="4">
        <v>52648.08</v>
      </c>
      <c r="O130" s="24">
        <f>FlightOps[[#This Row],[SeatsSold]]*FlightOps[[#This Row],[AvgTicketPrice]]</f>
        <v>7581323.5200000005</v>
      </c>
      <c r="P130" s="2" t="s">
        <v>39</v>
      </c>
    </row>
    <row r="131" spans="1:16" x14ac:dyDescent="0.25">
      <c r="A131" s="2" t="s">
        <v>161</v>
      </c>
      <c r="B131" s="2" t="s">
        <v>33</v>
      </c>
      <c r="C131" s="2" t="s">
        <v>14</v>
      </c>
      <c r="D131" s="2" t="s">
        <v>15</v>
      </c>
      <c r="E131" s="2" t="str">
        <f>FlightOps[[#This Row],[Origin]]&amp;"-"&amp;FlightOps[[#This Row],[Destination]]</f>
        <v>Karachi-Islamabad</v>
      </c>
      <c r="F131" s="3">
        <v>45963.552083333299</v>
      </c>
      <c r="G131" s="26">
        <f>HOUR(FlightOps[[#This Row],[ScheduledDeparture]])</f>
        <v>13</v>
      </c>
      <c r="H131" s="22">
        <v>2</v>
      </c>
      <c r="I131" s="2" t="s">
        <v>31</v>
      </c>
      <c r="J131" s="2">
        <v>220</v>
      </c>
      <c r="K131" s="2">
        <v>189</v>
      </c>
      <c r="L131" s="19">
        <f>FlightOps[[#This Row],[SeatsSold]]/FlightOps[[#This Row],[SeatsAvailable]]</f>
        <v>0.85909090909090913</v>
      </c>
      <c r="M131" s="2" t="s">
        <v>17</v>
      </c>
      <c r="N131" s="4">
        <v>40094.699999999997</v>
      </c>
      <c r="O131" s="24">
        <f>FlightOps[[#This Row],[SeatsSold]]*FlightOps[[#This Row],[AvgTicketPrice]]</f>
        <v>7577898.2999999998</v>
      </c>
      <c r="P131" s="2" t="s">
        <v>21</v>
      </c>
    </row>
    <row r="132" spans="1:16" x14ac:dyDescent="0.25">
      <c r="A132" s="2" t="s">
        <v>162</v>
      </c>
      <c r="B132" s="2" t="s">
        <v>13</v>
      </c>
      <c r="C132" s="2" t="s">
        <v>14</v>
      </c>
      <c r="D132" s="2" t="s">
        <v>30</v>
      </c>
      <c r="E132" s="2" t="str">
        <f>FlightOps[[#This Row],[Origin]]&amp;"-"&amp;FlightOps[[#This Row],[Destination]]</f>
        <v>Karachi-Dubai</v>
      </c>
      <c r="F132" s="3">
        <v>46022.270833333299</v>
      </c>
      <c r="G132" s="26">
        <f>HOUR(FlightOps[[#This Row],[ScheduledDeparture]])</f>
        <v>6</v>
      </c>
      <c r="H132" s="22">
        <v>4</v>
      </c>
      <c r="I132" s="2" t="s">
        <v>20</v>
      </c>
      <c r="J132" s="2">
        <v>72</v>
      </c>
      <c r="K132" s="2">
        <v>46</v>
      </c>
      <c r="L132" s="19">
        <f>FlightOps[[#This Row],[SeatsSold]]/FlightOps[[#This Row],[SeatsAvailable]]</f>
        <v>0.63888888888888884</v>
      </c>
      <c r="M132" s="2" t="s">
        <v>17</v>
      </c>
      <c r="N132" s="4">
        <v>50612.2</v>
      </c>
      <c r="O132" s="24">
        <f>FlightOps[[#This Row],[SeatsSold]]*FlightOps[[#This Row],[AvgTicketPrice]]</f>
        <v>2328161.1999999997</v>
      </c>
      <c r="P132" s="2" t="s">
        <v>26</v>
      </c>
    </row>
    <row r="133" spans="1:16" x14ac:dyDescent="0.25">
      <c r="A133" s="2" t="s">
        <v>163</v>
      </c>
      <c r="B133" s="2" t="s">
        <v>13</v>
      </c>
      <c r="C133" s="2" t="s">
        <v>14</v>
      </c>
      <c r="D133" s="2" t="s">
        <v>30</v>
      </c>
      <c r="E133" s="2" t="str">
        <f>FlightOps[[#This Row],[Origin]]&amp;"-"&amp;FlightOps[[#This Row],[Destination]]</f>
        <v>Karachi-Dubai</v>
      </c>
      <c r="F133" s="3">
        <v>46112.739583333299</v>
      </c>
      <c r="G133" s="26">
        <f>HOUR(FlightOps[[#This Row],[ScheduledDeparture]])</f>
        <v>17</v>
      </c>
      <c r="H133" s="22">
        <v>47</v>
      </c>
      <c r="I133" s="2" t="s">
        <v>16</v>
      </c>
      <c r="J133" s="2">
        <v>180</v>
      </c>
      <c r="K133" s="2">
        <v>167</v>
      </c>
      <c r="L133" s="19">
        <f>FlightOps[[#This Row],[SeatsSold]]/FlightOps[[#This Row],[SeatsAvailable]]</f>
        <v>0.92777777777777781</v>
      </c>
      <c r="M133" s="2" t="s">
        <v>17</v>
      </c>
      <c r="N133" s="4">
        <v>26923.06</v>
      </c>
      <c r="O133" s="24">
        <f>FlightOps[[#This Row],[SeatsSold]]*FlightOps[[#This Row],[AvgTicketPrice]]</f>
        <v>4496151.0200000005</v>
      </c>
      <c r="P133" s="2" t="s">
        <v>39</v>
      </c>
    </row>
    <row r="134" spans="1:16" x14ac:dyDescent="0.25">
      <c r="A134" s="2" t="s">
        <v>164</v>
      </c>
      <c r="B134" s="2" t="s">
        <v>13</v>
      </c>
      <c r="C134" s="2" t="s">
        <v>14</v>
      </c>
      <c r="D134" s="2" t="s">
        <v>24</v>
      </c>
      <c r="E134" s="2" t="str">
        <f>FlightOps[[#This Row],[Origin]]&amp;"-"&amp;FlightOps[[#This Row],[Destination]]</f>
        <v>Karachi-Lahore</v>
      </c>
      <c r="F134" s="3">
        <v>46152.90625</v>
      </c>
      <c r="G134" s="26">
        <f>HOUR(FlightOps[[#This Row],[ScheduledDeparture]])</f>
        <v>21</v>
      </c>
      <c r="H134" s="22">
        <v>14</v>
      </c>
      <c r="I134" s="2" t="s">
        <v>16</v>
      </c>
      <c r="J134" s="2">
        <v>180</v>
      </c>
      <c r="K134" s="2">
        <v>111</v>
      </c>
      <c r="L134" s="19">
        <f>FlightOps[[#This Row],[SeatsSold]]/FlightOps[[#This Row],[SeatsAvailable]]</f>
        <v>0.6166666666666667</v>
      </c>
      <c r="M134" s="2" t="s">
        <v>25</v>
      </c>
      <c r="N134" s="4">
        <v>127693.34</v>
      </c>
      <c r="O134" s="24">
        <f>FlightOps[[#This Row],[SeatsSold]]*FlightOps[[#This Row],[AvgTicketPrice]]</f>
        <v>14173960.74</v>
      </c>
      <c r="P134" s="2" t="s">
        <v>21</v>
      </c>
    </row>
    <row r="135" spans="1:16" x14ac:dyDescent="0.25">
      <c r="A135" s="2" t="s">
        <v>165</v>
      </c>
      <c r="B135" s="2" t="s">
        <v>33</v>
      </c>
      <c r="C135" s="2" t="s">
        <v>14</v>
      </c>
      <c r="D135" s="2" t="s">
        <v>37</v>
      </c>
      <c r="E135" s="2" t="str">
        <f>FlightOps[[#This Row],[Origin]]&amp;"-"&amp;FlightOps[[#This Row],[Destination]]</f>
        <v>Karachi-Jeddah</v>
      </c>
      <c r="F135" s="3">
        <v>46114.5625</v>
      </c>
      <c r="G135" s="26">
        <f>HOUR(FlightOps[[#This Row],[ScheduledDeparture]])</f>
        <v>13</v>
      </c>
      <c r="H135" s="22">
        <v>0</v>
      </c>
      <c r="I135" s="2" t="s">
        <v>35</v>
      </c>
      <c r="J135" s="2">
        <v>186</v>
      </c>
      <c r="K135" s="2">
        <v>110</v>
      </c>
      <c r="L135" s="19">
        <f>FlightOps[[#This Row],[SeatsSold]]/FlightOps[[#This Row],[SeatsAvailable]]</f>
        <v>0.59139784946236562</v>
      </c>
      <c r="M135" s="2" t="s">
        <v>17</v>
      </c>
      <c r="N135" s="4">
        <v>55773.59</v>
      </c>
      <c r="O135" s="24">
        <f>FlightOps[[#This Row],[SeatsSold]]*FlightOps[[#This Row],[AvgTicketPrice]]</f>
        <v>6135094.8999999994</v>
      </c>
      <c r="P135" s="2" t="s">
        <v>18</v>
      </c>
    </row>
    <row r="136" spans="1:16" x14ac:dyDescent="0.25">
      <c r="A136" s="2" t="s">
        <v>166</v>
      </c>
      <c r="B136" s="2" t="s">
        <v>23</v>
      </c>
      <c r="C136" s="2" t="s">
        <v>14</v>
      </c>
      <c r="D136" s="2" t="s">
        <v>30</v>
      </c>
      <c r="E136" s="2" t="str">
        <f>FlightOps[[#This Row],[Origin]]&amp;"-"&amp;FlightOps[[#This Row],[Destination]]</f>
        <v>Karachi-Dubai</v>
      </c>
      <c r="F136" s="3">
        <v>45913.84375</v>
      </c>
      <c r="G136" s="26">
        <f>HOUR(FlightOps[[#This Row],[ScheduledDeparture]])</f>
        <v>20</v>
      </c>
      <c r="H136" s="22">
        <v>0</v>
      </c>
      <c r="I136" s="2" t="s">
        <v>20</v>
      </c>
      <c r="J136" s="2">
        <v>72</v>
      </c>
      <c r="K136" s="2">
        <v>63</v>
      </c>
      <c r="L136" s="19">
        <f>FlightOps[[#This Row],[SeatsSold]]/FlightOps[[#This Row],[SeatsAvailable]]</f>
        <v>0.875</v>
      </c>
      <c r="M136" s="2" t="s">
        <v>25</v>
      </c>
      <c r="N136" s="4">
        <v>149135.15</v>
      </c>
      <c r="O136" s="24">
        <f>FlightOps[[#This Row],[SeatsSold]]*FlightOps[[#This Row],[AvgTicketPrice]]</f>
        <v>9395514.4499999993</v>
      </c>
      <c r="P136" s="2" t="s">
        <v>18</v>
      </c>
    </row>
    <row r="137" spans="1:16" x14ac:dyDescent="0.25">
      <c r="A137" s="2" t="s">
        <v>167</v>
      </c>
      <c r="B137" s="2" t="s">
        <v>23</v>
      </c>
      <c r="C137" s="2" t="s">
        <v>14</v>
      </c>
      <c r="D137" s="2" t="s">
        <v>30</v>
      </c>
      <c r="E137" s="2" t="str">
        <f>FlightOps[[#This Row],[Origin]]&amp;"-"&amp;FlightOps[[#This Row],[Destination]]</f>
        <v>Karachi-Dubai</v>
      </c>
      <c r="F137" s="3">
        <v>45839.958333333299</v>
      </c>
      <c r="G137" s="26">
        <f>HOUR(FlightOps[[#This Row],[ScheduledDeparture]])</f>
        <v>23</v>
      </c>
      <c r="H137" s="22">
        <v>27</v>
      </c>
      <c r="I137" s="2" t="s">
        <v>16</v>
      </c>
      <c r="J137" s="2">
        <v>180</v>
      </c>
      <c r="K137" s="2">
        <v>112</v>
      </c>
      <c r="L137" s="19">
        <f>FlightOps[[#This Row],[SeatsSold]]/FlightOps[[#This Row],[SeatsAvailable]]</f>
        <v>0.62222222222222223</v>
      </c>
      <c r="M137" s="2" t="s">
        <v>25</v>
      </c>
      <c r="N137" s="4">
        <v>59461.59</v>
      </c>
      <c r="O137" s="24">
        <f>FlightOps[[#This Row],[SeatsSold]]*FlightOps[[#This Row],[AvgTicketPrice]]</f>
        <v>6659698.0800000001</v>
      </c>
      <c r="P137" s="2" t="s">
        <v>26</v>
      </c>
    </row>
    <row r="138" spans="1:16" x14ac:dyDescent="0.25">
      <c r="A138" s="2" t="s">
        <v>168</v>
      </c>
      <c r="B138" s="2" t="s">
        <v>23</v>
      </c>
      <c r="C138" s="2" t="s">
        <v>24</v>
      </c>
      <c r="D138" s="2" t="s">
        <v>30</v>
      </c>
      <c r="E138" s="2" t="str">
        <f>FlightOps[[#This Row],[Origin]]&amp;"-"&amp;FlightOps[[#This Row],[Destination]]</f>
        <v>Lahore-Dubai</v>
      </c>
      <c r="F138" s="3">
        <v>45993.4375</v>
      </c>
      <c r="G138" s="26">
        <f>HOUR(FlightOps[[#This Row],[ScheduledDeparture]])</f>
        <v>10</v>
      </c>
      <c r="H138" s="22">
        <v>42</v>
      </c>
      <c r="I138" s="2" t="s">
        <v>35</v>
      </c>
      <c r="J138" s="2">
        <v>186</v>
      </c>
      <c r="K138" s="2">
        <v>155</v>
      </c>
      <c r="L138" s="19">
        <f>FlightOps[[#This Row],[SeatsSold]]/FlightOps[[#This Row],[SeatsAvailable]]</f>
        <v>0.83333333333333337</v>
      </c>
      <c r="M138" s="2" t="s">
        <v>17</v>
      </c>
      <c r="N138" s="4">
        <v>26231.47</v>
      </c>
      <c r="O138" s="24">
        <f>FlightOps[[#This Row],[SeatsSold]]*FlightOps[[#This Row],[AvgTicketPrice]]</f>
        <v>4065877.85</v>
      </c>
      <c r="P138" s="2" t="s">
        <v>26</v>
      </c>
    </row>
    <row r="139" spans="1:16" x14ac:dyDescent="0.25">
      <c r="A139" s="2" t="s">
        <v>169</v>
      </c>
      <c r="B139" s="2" t="s">
        <v>13</v>
      </c>
      <c r="C139" s="2" t="s">
        <v>24</v>
      </c>
      <c r="D139" s="2" t="s">
        <v>28</v>
      </c>
      <c r="E139" s="2" t="str">
        <f>FlightOps[[#This Row],[Origin]]&amp;"-"&amp;FlightOps[[#This Row],[Destination]]</f>
        <v>Lahore-London</v>
      </c>
      <c r="F139" s="3">
        <v>46020.645833333299</v>
      </c>
      <c r="G139" s="26">
        <f>HOUR(FlightOps[[#This Row],[ScheduledDeparture]])</f>
        <v>15</v>
      </c>
      <c r="H139" s="22">
        <v>23</v>
      </c>
      <c r="I139" s="2" t="s">
        <v>31</v>
      </c>
      <c r="J139" s="2">
        <v>220</v>
      </c>
      <c r="K139" s="2">
        <v>165</v>
      </c>
      <c r="L139" s="19">
        <f>FlightOps[[#This Row],[SeatsSold]]/FlightOps[[#This Row],[SeatsAvailable]]</f>
        <v>0.75</v>
      </c>
      <c r="M139" s="2" t="s">
        <v>17</v>
      </c>
      <c r="N139" s="4">
        <v>17907.88</v>
      </c>
      <c r="O139" s="24">
        <f>FlightOps[[#This Row],[SeatsSold]]*FlightOps[[#This Row],[AvgTicketPrice]]</f>
        <v>2954800.2</v>
      </c>
      <c r="P139" s="2" t="s">
        <v>49</v>
      </c>
    </row>
    <row r="140" spans="1:16" x14ac:dyDescent="0.25">
      <c r="A140" s="2" t="s">
        <v>170</v>
      </c>
      <c r="B140" s="2" t="s">
        <v>33</v>
      </c>
      <c r="C140" s="2" t="s">
        <v>14</v>
      </c>
      <c r="D140" s="2" t="s">
        <v>15</v>
      </c>
      <c r="E140" s="2" t="str">
        <f>FlightOps[[#This Row],[Origin]]&amp;"-"&amp;FlightOps[[#This Row],[Destination]]</f>
        <v>Karachi-Islamabad</v>
      </c>
      <c r="F140" s="3">
        <v>45916.46875</v>
      </c>
      <c r="G140" s="26">
        <f>HOUR(FlightOps[[#This Row],[ScheduledDeparture]])</f>
        <v>11</v>
      </c>
      <c r="H140" s="22">
        <v>9</v>
      </c>
      <c r="I140" s="2" t="s">
        <v>20</v>
      </c>
      <c r="J140" s="2">
        <v>72</v>
      </c>
      <c r="K140" s="2">
        <v>37</v>
      </c>
      <c r="L140" s="19">
        <f>FlightOps[[#This Row],[SeatsSold]]/FlightOps[[#This Row],[SeatsAvailable]]</f>
        <v>0.51388888888888884</v>
      </c>
      <c r="M140" s="2" t="s">
        <v>25</v>
      </c>
      <c r="N140" s="4">
        <v>85824.09</v>
      </c>
      <c r="O140" s="24">
        <f>FlightOps[[#This Row],[SeatsSold]]*FlightOps[[#This Row],[AvgTicketPrice]]</f>
        <v>3175491.33</v>
      </c>
      <c r="P140" s="2" t="s">
        <v>21</v>
      </c>
    </row>
    <row r="141" spans="1:16" x14ac:dyDescent="0.25">
      <c r="A141" s="2" t="s">
        <v>171</v>
      </c>
      <c r="B141" s="2" t="s">
        <v>23</v>
      </c>
      <c r="C141" s="2" t="s">
        <v>24</v>
      </c>
      <c r="D141" s="2" t="s">
        <v>30</v>
      </c>
      <c r="E141" s="2" t="str">
        <f>FlightOps[[#This Row],[Origin]]&amp;"-"&amp;FlightOps[[#This Row],[Destination]]</f>
        <v>Lahore-Dubai</v>
      </c>
      <c r="F141" s="3">
        <v>46023.229166666701</v>
      </c>
      <c r="G141" s="26">
        <f>HOUR(FlightOps[[#This Row],[ScheduledDeparture]])</f>
        <v>5</v>
      </c>
      <c r="H141" s="22">
        <v>0</v>
      </c>
      <c r="I141" s="2" t="s">
        <v>35</v>
      </c>
      <c r="J141" s="2">
        <v>186</v>
      </c>
      <c r="K141" s="2">
        <v>168</v>
      </c>
      <c r="L141" s="19">
        <f>FlightOps[[#This Row],[SeatsSold]]/FlightOps[[#This Row],[SeatsAvailable]]</f>
        <v>0.90322580645161288</v>
      </c>
      <c r="M141" s="2" t="s">
        <v>17</v>
      </c>
      <c r="N141" s="4">
        <v>58349.18</v>
      </c>
      <c r="O141" s="24">
        <f>FlightOps[[#This Row],[SeatsSold]]*FlightOps[[#This Row],[AvgTicketPrice]]</f>
        <v>9802662.2400000002</v>
      </c>
      <c r="P141" s="2" t="s">
        <v>18</v>
      </c>
    </row>
    <row r="142" spans="1:16" x14ac:dyDescent="0.25">
      <c r="A142" s="2" t="s">
        <v>172</v>
      </c>
      <c r="B142" s="2" t="s">
        <v>42</v>
      </c>
      <c r="C142" s="2" t="s">
        <v>24</v>
      </c>
      <c r="D142" s="2" t="s">
        <v>28</v>
      </c>
      <c r="E142" s="2" t="str">
        <f>FlightOps[[#This Row],[Origin]]&amp;"-"&amp;FlightOps[[#This Row],[Destination]]</f>
        <v>Lahore-London</v>
      </c>
      <c r="F142" s="3">
        <v>46141.1875</v>
      </c>
      <c r="G142" s="26">
        <f>HOUR(FlightOps[[#This Row],[ScheduledDeparture]])</f>
        <v>4</v>
      </c>
      <c r="H142" s="22">
        <v>13</v>
      </c>
      <c r="I142" s="2" t="s">
        <v>31</v>
      </c>
      <c r="J142" s="2">
        <v>220</v>
      </c>
      <c r="K142" s="2">
        <v>183</v>
      </c>
      <c r="L142" s="19">
        <f>FlightOps[[#This Row],[SeatsSold]]/FlightOps[[#This Row],[SeatsAvailable]]</f>
        <v>0.83181818181818179</v>
      </c>
      <c r="M142" s="2" t="s">
        <v>17</v>
      </c>
      <c r="N142" s="4">
        <v>54278.84</v>
      </c>
      <c r="O142" s="24">
        <f>FlightOps[[#This Row],[SeatsSold]]*FlightOps[[#This Row],[AvgTicketPrice]]</f>
        <v>9933027.7199999988</v>
      </c>
      <c r="P142" s="2" t="s">
        <v>26</v>
      </c>
    </row>
    <row r="143" spans="1:16" x14ac:dyDescent="0.25">
      <c r="A143" s="2" t="s">
        <v>173</v>
      </c>
      <c r="B143" s="2" t="s">
        <v>13</v>
      </c>
      <c r="C143" s="2" t="s">
        <v>24</v>
      </c>
      <c r="D143" s="2" t="s">
        <v>28</v>
      </c>
      <c r="E143" s="2" t="str">
        <f>FlightOps[[#This Row],[Origin]]&amp;"-"&amp;FlightOps[[#This Row],[Destination]]</f>
        <v>Lahore-London</v>
      </c>
      <c r="F143" s="3">
        <v>45856.625</v>
      </c>
      <c r="G143" s="26">
        <f>HOUR(FlightOps[[#This Row],[ScheduledDeparture]])</f>
        <v>15</v>
      </c>
      <c r="H143" s="22">
        <v>10</v>
      </c>
      <c r="I143" s="2" t="s">
        <v>16</v>
      </c>
      <c r="J143" s="2">
        <v>180</v>
      </c>
      <c r="K143" s="2">
        <v>163</v>
      </c>
      <c r="L143" s="19">
        <f>FlightOps[[#This Row],[SeatsSold]]/FlightOps[[#This Row],[SeatsAvailable]]</f>
        <v>0.90555555555555556</v>
      </c>
      <c r="M143" s="2" t="s">
        <v>25</v>
      </c>
      <c r="N143" s="4">
        <v>143001.42000000001</v>
      </c>
      <c r="O143" s="24">
        <f>FlightOps[[#This Row],[SeatsSold]]*FlightOps[[#This Row],[AvgTicketPrice]]</f>
        <v>23309231.460000001</v>
      </c>
      <c r="P143" s="2" t="s">
        <v>49</v>
      </c>
    </row>
    <row r="144" spans="1:16" x14ac:dyDescent="0.25">
      <c r="A144" s="2" t="s">
        <v>174</v>
      </c>
      <c r="B144" s="2" t="s">
        <v>33</v>
      </c>
      <c r="C144" s="2" t="s">
        <v>24</v>
      </c>
      <c r="D144" s="2" t="s">
        <v>30</v>
      </c>
      <c r="E144" s="2" t="str">
        <f>FlightOps[[#This Row],[Origin]]&amp;"-"&amp;FlightOps[[#This Row],[Destination]]</f>
        <v>Lahore-Dubai</v>
      </c>
      <c r="F144" s="3">
        <v>45903.270833333299</v>
      </c>
      <c r="G144" s="26">
        <f>HOUR(FlightOps[[#This Row],[ScheduledDeparture]])</f>
        <v>6</v>
      </c>
      <c r="H144" s="22">
        <v>4</v>
      </c>
      <c r="I144" s="2" t="s">
        <v>16</v>
      </c>
      <c r="J144" s="2">
        <v>180</v>
      </c>
      <c r="K144" s="2">
        <v>166</v>
      </c>
      <c r="L144" s="19">
        <f>FlightOps[[#This Row],[SeatsSold]]/FlightOps[[#This Row],[SeatsAvailable]]</f>
        <v>0.92222222222222228</v>
      </c>
      <c r="M144" s="2" t="s">
        <v>25</v>
      </c>
      <c r="N144" s="4">
        <v>118893.72</v>
      </c>
      <c r="O144" s="24">
        <f>FlightOps[[#This Row],[SeatsSold]]*FlightOps[[#This Row],[AvgTicketPrice]]</f>
        <v>19736357.52</v>
      </c>
      <c r="P144" s="2" t="s">
        <v>39</v>
      </c>
    </row>
    <row r="145" spans="1:16" x14ac:dyDescent="0.25">
      <c r="A145" s="2" t="s">
        <v>175</v>
      </c>
      <c r="B145" s="2" t="s">
        <v>23</v>
      </c>
      <c r="C145" s="2" t="s">
        <v>14</v>
      </c>
      <c r="D145" s="2" t="s">
        <v>37</v>
      </c>
      <c r="E145" s="2" t="str">
        <f>FlightOps[[#This Row],[Origin]]&amp;"-"&amp;FlightOps[[#This Row],[Destination]]</f>
        <v>Karachi-Jeddah</v>
      </c>
      <c r="F145" s="3">
        <v>46038.666666666701</v>
      </c>
      <c r="G145" s="26">
        <f>HOUR(FlightOps[[#This Row],[ScheduledDeparture]])</f>
        <v>16</v>
      </c>
      <c r="H145" s="22">
        <v>37</v>
      </c>
      <c r="I145" s="2" t="s">
        <v>20</v>
      </c>
      <c r="J145" s="2">
        <v>72</v>
      </c>
      <c r="K145" s="2">
        <v>28</v>
      </c>
      <c r="L145" s="19">
        <f>FlightOps[[#This Row],[SeatsSold]]/FlightOps[[#This Row],[SeatsAvailable]]</f>
        <v>0.3888888888888889</v>
      </c>
      <c r="M145" s="2" t="s">
        <v>17</v>
      </c>
      <c r="N145" s="4">
        <v>59898.71</v>
      </c>
      <c r="O145" s="24">
        <f>FlightOps[[#This Row],[SeatsSold]]*FlightOps[[#This Row],[AvgTicketPrice]]</f>
        <v>1677163.88</v>
      </c>
      <c r="P145" s="2" t="s">
        <v>49</v>
      </c>
    </row>
    <row r="146" spans="1:16" x14ac:dyDescent="0.25">
      <c r="A146" s="2" t="s">
        <v>176</v>
      </c>
      <c r="B146" s="2" t="s">
        <v>13</v>
      </c>
      <c r="C146" s="2" t="s">
        <v>14</v>
      </c>
      <c r="D146" s="2" t="s">
        <v>37</v>
      </c>
      <c r="E146" s="2" t="str">
        <f>FlightOps[[#This Row],[Origin]]&amp;"-"&amp;FlightOps[[#This Row],[Destination]]</f>
        <v>Karachi-Jeddah</v>
      </c>
      <c r="F146" s="3">
        <v>45945.9375</v>
      </c>
      <c r="G146" s="26">
        <f>HOUR(FlightOps[[#This Row],[ScheduledDeparture]])</f>
        <v>22</v>
      </c>
      <c r="H146" s="22">
        <v>60</v>
      </c>
      <c r="I146" s="2" t="s">
        <v>35</v>
      </c>
      <c r="J146" s="2">
        <v>186</v>
      </c>
      <c r="K146" s="2">
        <v>67</v>
      </c>
      <c r="L146" s="19">
        <f>FlightOps[[#This Row],[SeatsSold]]/FlightOps[[#This Row],[SeatsAvailable]]</f>
        <v>0.36021505376344087</v>
      </c>
      <c r="M146" s="2" t="s">
        <v>17</v>
      </c>
      <c r="N146" s="4">
        <v>51764.73</v>
      </c>
      <c r="O146" s="24">
        <f>FlightOps[[#This Row],[SeatsSold]]*FlightOps[[#This Row],[AvgTicketPrice]]</f>
        <v>3468236.91</v>
      </c>
      <c r="P146" s="2" t="s">
        <v>21</v>
      </c>
    </row>
    <row r="147" spans="1:16" x14ac:dyDescent="0.25">
      <c r="A147" s="2" t="s">
        <v>177</v>
      </c>
      <c r="B147" s="2" t="s">
        <v>33</v>
      </c>
      <c r="C147" s="2" t="s">
        <v>14</v>
      </c>
      <c r="D147" s="2" t="s">
        <v>30</v>
      </c>
      <c r="E147" s="2" t="str">
        <f>FlightOps[[#This Row],[Origin]]&amp;"-"&amp;FlightOps[[#This Row],[Destination]]</f>
        <v>Karachi-Dubai</v>
      </c>
      <c r="F147" s="3">
        <v>46010.6875</v>
      </c>
      <c r="G147" s="26">
        <f>HOUR(FlightOps[[#This Row],[ScheduledDeparture]])</f>
        <v>16</v>
      </c>
      <c r="H147" s="22">
        <v>19</v>
      </c>
      <c r="I147" s="2" t="s">
        <v>31</v>
      </c>
      <c r="J147" s="2">
        <v>220</v>
      </c>
      <c r="K147" s="2">
        <v>167</v>
      </c>
      <c r="L147" s="19">
        <f>FlightOps[[#This Row],[SeatsSold]]/FlightOps[[#This Row],[SeatsAvailable]]</f>
        <v>0.75909090909090904</v>
      </c>
      <c r="M147" s="2" t="s">
        <v>25</v>
      </c>
      <c r="N147" s="4">
        <v>67312.62</v>
      </c>
      <c r="O147" s="24">
        <f>FlightOps[[#This Row],[SeatsSold]]*FlightOps[[#This Row],[AvgTicketPrice]]</f>
        <v>11241207.539999999</v>
      </c>
      <c r="P147" s="2" t="s">
        <v>21</v>
      </c>
    </row>
    <row r="148" spans="1:16" x14ac:dyDescent="0.25">
      <c r="A148" s="2" t="s">
        <v>178</v>
      </c>
      <c r="B148" s="2" t="s">
        <v>23</v>
      </c>
      <c r="C148" s="2" t="s">
        <v>24</v>
      </c>
      <c r="D148" s="2" t="s">
        <v>30</v>
      </c>
      <c r="E148" s="2" t="str">
        <f>FlightOps[[#This Row],[Origin]]&amp;"-"&amp;FlightOps[[#This Row],[Destination]]</f>
        <v>Lahore-Dubai</v>
      </c>
      <c r="F148" s="3">
        <v>45928.239583333299</v>
      </c>
      <c r="G148" s="26">
        <f>HOUR(FlightOps[[#This Row],[ScheduledDeparture]])</f>
        <v>5</v>
      </c>
      <c r="H148" s="22">
        <v>0</v>
      </c>
      <c r="I148" s="2" t="s">
        <v>31</v>
      </c>
      <c r="J148" s="2">
        <v>220</v>
      </c>
      <c r="K148" s="2">
        <v>207</v>
      </c>
      <c r="L148" s="19">
        <f>FlightOps[[#This Row],[SeatsSold]]/FlightOps[[#This Row],[SeatsAvailable]]</f>
        <v>0.94090909090909092</v>
      </c>
      <c r="M148" s="2" t="s">
        <v>17</v>
      </c>
      <c r="N148" s="4">
        <v>54234.16</v>
      </c>
      <c r="O148" s="24">
        <f>FlightOps[[#This Row],[SeatsSold]]*FlightOps[[#This Row],[AvgTicketPrice]]</f>
        <v>11226471.120000001</v>
      </c>
      <c r="P148" s="2" t="s">
        <v>18</v>
      </c>
    </row>
    <row r="149" spans="1:16" x14ac:dyDescent="0.25">
      <c r="A149" s="2" t="s">
        <v>179</v>
      </c>
      <c r="B149" s="2" t="s">
        <v>23</v>
      </c>
      <c r="C149" s="2" t="s">
        <v>14</v>
      </c>
      <c r="D149" s="2" t="s">
        <v>24</v>
      </c>
      <c r="E149" s="2" t="str">
        <f>FlightOps[[#This Row],[Origin]]&amp;"-"&amp;FlightOps[[#This Row],[Destination]]</f>
        <v>Karachi-Lahore</v>
      </c>
      <c r="F149" s="3">
        <v>46005.5625</v>
      </c>
      <c r="G149" s="26">
        <f>HOUR(FlightOps[[#This Row],[ScheduledDeparture]])</f>
        <v>13</v>
      </c>
      <c r="H149" s="22">
        <v>14</v>
      </c>
      <c r="I149" s="2" t="s">
        <v>35</v>
      </c>
      <c r="J149" s="2">
        <v>186</v>
      </c>
      <c r="K149" s="2">
        <v>95</v>
      </c>
      <c r="L149" s="19">
        <f>FlightOps[[#This Row],[SeatsSold]]/FlightOps[[#This Row],[SeatsAvailable]]</f>
        <v>0.510752688172043</v>
      </c>
      <c r="M149" s="2" t="s">
        <v>17</v>
      </c>
      <c r="N149" s="4">
        <v>36179.379999999997</v>
      </c>
      <c r="O149" s="24">
        <f>FlightOps[[#This Row],[SeatsSold]]*FlightOps[[#This Row],[AvgTicketPrice]]</f>
        <v>3437041.0999999996</v>
      </c>
      <c r="P149" s="2" t="s">
        <v>26</v>
      </c>
    </row>
    <row r="150" spans="1:16" x14ac:dyDescent="0.25">
      <c r="A150" s="2" t="s">
        <v>180</v>
      </c>
      <c r="B150" s="2" t="s">
        <v>42</v>
      </c>
      <c r="C150" s="2" t="s">
        <v>14</v>
      </c>
      <c r="D150" s="2" t="s">
        <v>24</v>
      </c>
      <c r="E150" s="2" t="str">
        <f>FlightOps[[#This Row],[Origin]]&amp;"-"&amp;FlightOps[[#This Row],[Destination]]</f>
        <v>Karachi-Lahore</v>
      </c>
      <c r="F150" s="3">
        <v>45863.510416666701</v>
      </c>
      <c r="G150" s="26">
        <f>HOUR(FlightOps[[#This Row],[ScheduledDeparture]])</f>
        <v>12</v>
      </c>
      <c r="H150" s="22">
        <v>25</v>
      </c>
      <c r="I150" s="2" t="s">
        <v>35</v>
      </c>
      <c r="J150" s="2">
        <v>186</v>
      </c>
      <c r="K150" s="2">
        <v>86</v>
      </c>
      <c r="L150" s="19">
        <f>FlightOps[[#This Row],[SeatsSold]]/FlightOps[[#This Row],[SeatsAvailable]]</f>
        <v>0.46236559139784944</v>
      </c>
      <c r="M150" s="2" t="s">
        <v>25</v>
      </c>
      <c r="N150" s="4">
        <v>116099.98</v>
      </c>
      <c r="O150" s="24">
        <f>FlightOps[[#This Row],[SeatsSold]]*FlightOps[[#This Row],[AvgTicketPrice]]</f>
        <v>9984598.2799999993</v>
      </c>
      <c r="P150" s="2" t="s">
        <v>49</v>
      </c>
    </row>
    <row r="151" spans="1:16" x14ac:dyDescent="0.25">
      <c r="A151" s="2" t="s">
        <v>181</v>
      </c>
      <c r="B151" s="2" t="s">
        <v>42</v>
      </c>
      <c r="C151" s="2" t="s">
        <v>14</v>
      </c>
      <c r="D151" s="2" t="s">
        <v>37</v>
      </c>
      <c r="E151" s="2" t="str">
        <f>FlightOps[[#This Row],[Origin]]&amp;"-"&amp;FlightOps[[#This Row],[Destination]]</f>
        <v>Karachi-Jeddah</v>
      </c>
      <c r="F151" s="3">
        <v>46114.572916666701</v>
      </c>
      <c r="G151" s="26">
        <f>HOUR(FlightOps[[#This Row],[ScheduledDeparture]])</f>
        <v>13</v>
      </c>
      <c r="H151" s="22">
        <v>23</v>
      </c>
      <c r="I151" s="2" t="s">
        <v>31</v>
      </c>
      <c r="J151" s="2">
        <v>220</v>
      </c>
      <c r="K151" s="2">
        <v>158</v>
      </c>
      <c r="L151" s="19">
        <f>FlightOps[[#This Row],[SeatsSold]]/FlightOps[[#This Row],[SeatsAvailable]]</f>
        <v>0.71818181818181814</v>
      </c>
      <c r="M151" s="2" t="s">
        <v>17</v>
      </c>
      <c r="N151" s="4">
        <v>53250.36</v>
      </c>
      <c r="O151" s="24">
        <f>FlightOps[[#This Row],[SeatsSold]]*FlightOps[[#This Row],[AvgTicketPrice]]</f>
        <v>8413556.8800000008</v>
      </c>
      <c r="P151" s="2" t="s">
        <v>49</v>
      </c>
    </row>
    <row r="152" spans="1:16" x14ac:dyDescent="0.25">
      <c r="A152" s="2" t="s">
        <v>182</v>
      </c>
      <c r="B152" s="2" t="s">
        <v>23</v>
      </c>
      <c r="C152" s="2" t="s">
        <v>14</v>
      </c>
      <c r="D152" s="2" t="s">
        <v>37</v>
      </c>
      <c r="E152" s="2" t="str">
        <f>FlightOps[[#This Row],[Origin]]&amp;"-"&amp;FlightOps[[#This Row],[Destination]]</f>
        <v>Karachi-Jeddah</v>
      </c>
      <c r="F152" s="3">
        <v>45874.59375</v>
      </c>
      <c r="G152" s="26">
        <f>HOUR(FlightOps[[#This Row],[ScheduledDeparture]])</f>
        <v>14</v>
      </c>
      <c r="H152" s="22">
        <v>6</v>
      </c>
      <c r="I152" s="2" t="s">
        <v>35</v>
      </c>
      <c r="J152" s="2">
        <v>186</v>
      </c>
      <c r="K152" s="2">
        <v>117</v>
      </c>
      <c r="L152" s="19">
        <f>FlightOps[[#This Row],[SeatsSold]]/FlightOps[[#This Row],[SeatsAvailable]]</f>
        <v>0.62903225806451613</v>
      </c>
      <c r="M152" s="2" t="s">
        <v>17</v>
      </c>
      <c r="N152" s="4">
        <v>44273.37</v>
      </c>
      <c r="O152" s="24">
        <f>FlightOps[[#This Row],[SeatsSold]]*FlightOps[[#This Row],[AvgTicketPrice]]</f>
        <v>5179984.29</v>
      </c>
      <c r="P152" s="2" t="s">
        <v>21</v>
      </c>
    </row>
    <row r="153" spans="1:16" x14ac:dyDescent="0.25">
      <c r="A153" s="2" t="s">
        <v>183</v>
      </c>
      <c r="B153" s="2" t="s">
        <v>33</v>
      </c>
      <c r="C153" s="2" t="s">
        <v>14</v>
      </c>
      <c r="D153" s="2" t="s">
        <v>24</v>
      </c>
      <c r="E153" s="2" t="str">
        <f>FlightOps[[#This Row],[Origin]]&amp;"-"&amp;FlightOps[[#This Row],[Destination]]</f>
        <v>Karachi-Lahore</v>
      </c>
      <c r="F153" s="3">
        <v>46054.40625</v>
      </c>
      <c r="G153" s="26">
        <f>HOUR(FlightOps[[#This Row],[ScheduledDeparture]])</f>
        <v>9</v>
      </c>
      <c r="H153" s="22">
        <v>0</v>
      </c>
      <c r="I153" s="2" t="s">
        <v>20</v>
      </c>
      <c r="J153" s="2">
        <v>72</v>
      </c>
      <c r="K153" s="2">
        <v>27</v>
      </c>
      <c r="L153" s="19">
        <f>FlightOps[[#This Row],[SeatsSold]]/FlightOps[[#This Row],[SeatsAvailable]]</f>
        <v>0.375</v>
      </c>
      <c r="M153" s="2" t="s">
        <v>17</v>
      </c>
      <c r="N153" s="4">
        <v>19813.419999999998</v>
      </c>
      <c r="O153" s="24">
        <f>FlightOps[[#This Row],[SeatsSold]]*FlightOps[[#This Row],[AvgTicketPrice]]</f>
        <v>534962.34</v>
      </c>
      <c r="P153" s="2" t="s">
        <v>18</v>
      </c>
    </row>
    <row r="154" spans="1:16" x14ac:dyDescent="0.25">
      <c r="A154" s="2" t="s">
        <v>184</v>
      </c>
      <c r="B154" s="2" t="s">
        <v>33</v>
      </c>
      <c r="C154" s="2" t="s">
        <v>14</v>
      </c>
      <c r="D154" s="2" t="s">
        <v>37</v>
      </c>
      <c r="E154" s="2" t="str">
        <f>FlightOps[[#This Row],[Origin]]&amp;"-"&amp;FlightOps[[#This Row],[Destination]]</f>
        <v>Karachi-Jeddah</v>
      </c>
      <c r="F154" s="3">
        <v>45839.5</v>
      </c>
      <c r="G154" s="26">
        <f>HOUR(FlightOps[[#This Row],[ScheduledDeparture]])</f>
        <v>12</v>
      </c>
      <c r="H154" s="22">
        <v>5</v>
      </c>
      <c r="I154" s="2" t="s">
        <v>16</v>
      </c>
      <c r="J154" s="2">
        <v>180</v>
      </c>
      <c r="K154" s="2">
        <v>143</v>
      </c>
      <c r="L154" s="19">
        <f>FlightOps[[#This Row],[SeatsSold]]/FlightOps[[#This Row],[SeatsAvailable]]</f>
        <v>0.7944444444444444</v>
      </c>
      <c r="M154" s="2" t="s">
        <v>25</v>
      </c>
      <c r="N154" s="4">
        <v>94771.89</v>
      </c>
      <c r="O154" s="24">
        <f>FlightOps[[#This Row],[SeatsSold]]*FlightOps[[#This Row],[AvgTicketPrice]]</f>
        <v>13552380.27</v>
      </c>
      <c r="P154" s="2" t="s">
        <v>26</v>
      </c>
    </row>
    <row r="155" spans="1:16" x14ac:dyDescent="0.25">
      <c r="A155" s="2" t="s">
        <v>185</v>
      </c>
      <c r="B155" s="2" t="s">
        <v>42</v>
      </c>
      <c r="C155" s="2" t="s">
        <v>24</v>
      </c>
      <c r="D155" s="2" t="s">
        <v>15</v>
      </c>
      <c r="E155" s="2" t="str">
        <f>FlightOps[[#This Row],[Origin]]&amp;"-"&amp;FlightOps[[#This Row],[Destination]]</f>
        <v>Lahore-Islamabad</v>
      </c>
      <c r="F155" s="3">
        <v>46148.395833333299</v>
      </c>
      <c r="G155" s="26">
        <f>HOUR(FlightOps[[#This Row],[ScheduledDeparture]])</f>
        <v>9</v>
      </c>
      <c r="H155" s="22">
        <v>28</v>
      </c>
      <c r="I155" s="2" t="s">
        <v>16</v>
      </c>
      <c r="J155" s="2">
        <v>180</v>
      </c>
      <c r="K155" s="2">
        <v>131</v>
      </c>
      <c r="L155" s="19">
        <f>FlightOps[[#This Row],[SeatsSold]]/FlightOps[[#This Row],[SeatsAvailable]]</f>
        <v>0.72777777777777775</v>
      </c>
      <c r="M155" s="2" t="s">
        <v>25</v>
      </c>
      <c r="N155" s="4">
        <v>55419.02</v>
      </c>
      <c r="O155" s="24">
        <f>FlightOps[[#This Row],[SeatsSold]]*FlightOps[[#This Row],[AvgTicketPrice]]</f>
        <v>7259891.6199999992</v>
      </c>
      <c r="P155" s="2" t="s">
        <v>39</v>
      </c>
    </row>
    <row r="156" spans="1:16" x14ac:dyDescent="0.25">
      <c r="A156" s="2" t="s">
        <v>186</v>
      </c>
      <c r="B156" s="2" t="s">
        <v>42</v>
      </c>
      <c r="C156" s="2" t="s">
        <v>14</v>
      </c>
      <c r="D156" s="2" t="s">
        <v>37</v>
      </c>
      <c r="E156" s="2" t="str">
        <f>FlightOps[[#This Row],[Origin]]&amp;"-"&amp;FlightOps[[#This Row],[Destination]]</f>
        <v>Karachi-Jeddah</v>
      </c>
      <c r="F156" s="3">
        <v>45870.8125</v>
      </c>
      <c r="G156" s="26">
        <f>HOUR(FlightOps[[#This Row],[ScheduledDeparture]])</f>
        <v>19</v>
      </c>
      <c r="H156" s="22">
        <v>0</v>
      </c>
      <c r="I156" s="2" t="s">
        <v>31</v>
      </c>
      <c r="J156" s="2">
        <v>220</v>
      </c>
      <c r="K156" s="2">
        <v>162</v>
      </c>
      <c r="L156" s="19">
        <f>FlightOps[[#This Row],[SeatsSold]]/FlightOps[[#This Row],[SeatsAvailable]]</f>
        <v>0.73636363636363633</v>
      </c>
      <c r="M156" s="2" t="s">
        <v>25</v>
      </c>
      <c r="N156" s="4">
        <v>79718.41</v>
      </c>
      <c r="O156" s="24">
        <f>FlightOps[[#This Row],[SeatsSold]]*FlightOps[[#This Row],[AvgTicketPrice]]</f>
        <v>12914382.42</v>
      </c>
      <c r="P156" s="2" t="s">
        <v>18</v>
      </c>
    </row>
    <row r="157" spans="1:16" x14ac:dyDescent="0.25">
      <c r="A157" s="2" t="s">
        <v>187</v>
      </c>
      <c r="B157" s="2" t="s">
        <v>23</v>
      </c>
      <c r="C157" s="2" t="s">
        <v>15</v>
      </c>
      <c r="D157" s="2" t="s">
        <v>37</v>
      </c>
      <c r="E157" s="2" t="str">
        <f>FlightOps[[#This Row],[Origin]]&amp;"-"&amp;FlightOps[[#This Row],[Destination]]</f>
        <v>Islamabad-Jeddah</v>
      </c>
      <c r="F157" s="3">
        <v>45903.885416666701</v>
      </c>
      <c r="G157" s="26">
        <f>HOUR(FlightOps[[#This Row],[ScheduledDeparture]])</f>
        <v>21</v>
      </c>
      <c r="H157" s="22">
        <v>0</v>
      </c>
      <c r="I157" s="2" t="s">
        <v>20</v>
      </c>
      <c r="J157" s="2">
        <v>72</v>
      </c>
      <c r="K157" s="2">
        <v>38</v>
      </c>
      <c r="L157" s="19">
        <f>FlightOps[[#This Row],[SeatsSold]]/FlightOps[[#This Row],[SeatsAvailable]]</f>
        <v>0.52777777777777779</v>
      </c>
      <c r="M157" s="2" t="s">
        <v>25</v>
      </c>
      <c r="N157" s="4">
        <v>113471.92</v>
      </c>
      <c r="O157" s="24">
        <f>FlightOps[[#This Row],[SeatsSold]]*FlightOps[[#This Row],[AvgTicketPrice]]</f>
        <v>4311932.96</v>
      </c>
      <c r="P157" s="2" t="s">
        <v>18</v>
      </c>
    </row>
    <row r="158" spans="1:16" x14ac:dyDescent="0.25">
      <c r="A158" s="2" t="s">
        <v>188</v>
      </c>
      <c r="B158" s="2" t="s">
        <v>23</v>
      </c>
      <c r="C158" s="2" t="s">
        <v>24</v>
      </c>
      <c r="D158" s="2" t="s">
        <v>30</v>
      </c>
      <c r="E158" s="2" t="str">
        <f>FlightOps[[#This Row],[Origin]]&amp;"-"&amp;FlightOps[[#This Row],[Destination]]</f>
        <v>Lahore-Dubai</v>
      </c>
      <c r="F158" s="3">
        <v>45908.635416666701</v>
      </c>
      <c r="G158" s="26">
        <f>HOUR(FlightOps[[#This Row],[ScheduledDeparture]])</f>
        <v>15</v>
      </c>
      <c r="H158" s="22">
        <v>15</v>
      </c>
      <c r="I158" s="2" t="s">
        <v>20</v>
      </c>
      <c r="J158" s="2">
        <v>72</v>
      </c>
      <c r="K158" s="2">
        <v>72</v>
      </c>
      <c r="L158" s="19">
        <f>FlightOps[[#This Row],[SeatsSold]]/FlightOps[[#This Row],[SeatsAvailable]]</f>
        <v>1</v>
      </c>
      <c r="M158" s="2" t="s">
        <v>25</v>
      </c>
      <c r="N158" s="4">
        <v>76166.490000000005</v>
      </c>
      <c r="O158" s="24">
        <f>FlightOps[[#This Row],[SeatsSold]]*FlightOps[[#This Row],[AvgTicketPrice]]</f>
        <v>5483987.2800000003</v>
      </c>
      <c r="P158" s="2" t="s">
        <v>21</v>
      </c>
    </row>
    <row r="159" spans="1:16" x14ac:dyDescent="0.25">
      <c r="A159" s="2" t="s">
        <v>189</v>
      </c>
      <c r="B159" s="2" t="s">
        <v>13</v>
      </c>
      <c r="C159" s="2" t="s">
        <v>15</v>
      </c>
      <c r="D159" s="2" t="s">
        <v>37</v>
      </c>
      <c r="E159" s="2" t="str">
        <f>FlightOps[[#This Row],[Origin]]&amp;"-"&amp;FlightOps[[#This Row],[Destination]]</f>
        <v>Islamabad-Jeddah</v>
      </c>
      <c r="F159" s="3">
        <v>45973.447916666701</v>
      </c>
      <c r="G159" s="26">
        <f>HOUR(FlightOps[[#This Row],[ScheduledDeparture]])</f>
        <v>10</v>
      </c>
      <c r="H159" s="22">
        <v>4</v>
      </c>
      <c r="I159" s="2" t="s">
        <v>31</v>
      </c>
      <c r="J159" s="2">
        <v>220</v>
      </c>
      <c r="K159" s="2">
        <v>206</v>
      </c>
      <c r="L159" s="19">
        <f>FlightOps[[#This Row],[SeatsSold]]/FlightOps[[#This Row],[SeatsAvailable]]</f>
        <v>0.9363636363636364</v>
      </c>
      <c r="M159" s="2" t="s">
        <v>17</v>
      </c>
      <c r="N159" s="4">
        <v>50947.99</v>
      </c>
      <c r="O159" s="24">
        <f>FlightOps[[#This Row],[SeatsSold]]*FlightOps[[#This Row],[AvgTicketPrice]]</f>
        <v>10495285.939999999</v>
      </c>
      <c r="P159" s="2" t="s">
        <v>49</v>
      </c>
    </row>
    <row r="160" spans="1:16" x14ac:dyDescent="0.25">
      <c r="A160" s="2" t="s">
        <v>190</v>
      </c>
      <c r="B160" s="2" t="s">
        <v>13</v>
      </c>
      <c r="C160" s="2" t="s">
        <v>14</v>
      </c>
      <c r="D160" s="2" t="s">
        <v>37</v>
      </c>
      <c r="E160" s="2" t="str">
        <f>FlightOps[[#This Row],[Origin]]&amp;"-"&amp;FlightOps[[#This Row],[Destination]]</f>
        <v>Karachi-Jeddah</v>
      </c>
      <c r="F160" s="3">
        <v>46026.520833333299</v>
      </c>
      <c r="G160" s="26">
        <f>HOUR(FlightOps[[#This Row],[ScheduledDeparture]])</f>
        <v>12</v>
      </c>
      <c r="H160" s="22">
        <v>33</v>
      </c>
      <c r="I160" s="2" t="s">
        <v>31</v>
      </c>
      <c r="J160" s="2">
        <v>220</v>
      </c>
      <c r="K160" s="2">
        <v>218</v>
      </c>
      <c r="L160" s="19">
        <f>FlightOps[[#This Row],[SeatsSold]]/FlightOps[[#This Row],[SeatsAvailable]]</f>
        <v>0.99090909090909096</v>
      </c>
      <c r="M160" s="2" t="s">
        <v>17</v>
      </c>
      <c r="N160" s="4">
        <v>18383.77</v>
      </c>
      <c r="O160" s="24">
        <f>FlightOps[[#This Row],[SeatsSold]]*FlightOps[[#This Row],[AvgTicketPrice]]</f>
        <v>4007661.86</v>
      </c>
      <c r="P160" s="2" t="s">
        <v>49</v>
      </c>
    </row>
    <row r="161" spans="1:16" x14ac:dyDescent="0.25">
      <c r="A161" s="2" t="s">
        <v>191</v>
      </c>
      <c r="B161" s="2" t="s">
        <v>23</v>
      </c>
      <c r="C161" s="2" t="s">
        <v>24</v>
      </c>
      <c r="D161" s="2" t="s">
        <v>30</v>
      </c>
      <c r="E161" s="2" t="str">
        <f>FlightOps[[#This Row],[Origin]]&amp;"-"&amp;FlightOps[[#This Row],[Destination]]</f>
        <v>Lahore-Dubai</v>
      </c>
      <c r="F161" s="3">
        <v>46102.822916666701</v>
      </c>
      <c r="G161" s="26">
        <f>HOUR(FlightOps[[#This Row],[ScheduledDeparture]])</f>
        <v>19</v>
      </c>
      <c r="H161" s="22">
        <v>35</v>
      </c>
      <c r="I161" s="2" t="s">
        <v>20</v>
      </c>
      <c r="J161" s="2">
        <v>72</v>
      </c>
      <c r="K161" s="2">
        <v>33</v>
      </c>
      <c r="L161" s="19">
        <f>FlightOps[[#This Row],[SeatsSold]]/FlightOps[[#This Row],[SeatsAvailable]]</f>
        <v>0.45833333333333331</v>
      </c>
      <c r="M161" s="2" t="s">
        <v>17</v>
      </c>
      <c r="N161" s="4">
        <v>17324.3</v>
      </c>
      <c r="O161" s="24">
        <f>FlightOps[[#This Row],[SeatsSold]]*FlightOps[[#This Row],[AvgTicketPrice]]</f>
        <v>571701.9</v>
      </c>
      <c r="P161" s="2" t="s">
        <v>49</v>
      </c>
    </row>
    <row r="162" spans="1:16" x14ac:dyDescent="0.25">
      <c r="A162" s="2" t="s">
        <v>192</v>
      </c>
      <c r="B162" s="2" t="s">
        <v>33</v>
      </c>
      <c r="C162" s="2" t="s">
        <v>14</v>
      </c>
      <c r="D162" s="2" t="s">
        <v>24</v>
      </c>
      <c r="E162" s="2" t="str">
        <f>FlightOps[[#This Row],[Origin]]&amp;"-"&amp;FlightOps[[#This Row],[Destination]]</f>
        <v>Karachi-Lahore</v>
      </c>
      <c r="F162" s="3">
        <v>45931.395833333299</v>
      </c>
      <c r="G162" s="26">
        <f>HOUR(FlightOps[[#This Row],[ScheduledDeparture]])</f>
        <v>9</v>
      </c>
      <c r="H162" s="22">
        <v>19</v>
      </c>
      <c r="I162" s="2" t="s">
        <v>16</v>
      </c>
      <c r="J162" s="2">
        <v>180</v>
      </c>
      <c r="K162" s="2">
        <v>103</v>
      </c>
      <c r="L162" s="19">
        <f>FlightOps[[#This Row],[SeatsSold]]/FlightOps[[#This Row],[SeatsAvailable]]</f>
        <v>0.57222222222222219</v>
      </c>
      <c r="M162" s="2" t="s">
        <v>25</v>
      </c>
      <c r="N162" s="4">
        <v>77772.58</v>
      </c>
      <c r="O162" s="24">
        <f>FlightOps[[#This Row],[SeatsSold]]*FlightOps[[#This Row],[AvgTicketPrice]]</f>
        <v>8010575.7400000002</v>
      </c>
      <c r="P162" s="2" t="s">
        <v>21</v>
      </c>
    </row>
    <row r="163" spans="1:16" x14ac:dyDescent="0.25">
      <c r="A163" s="2" t="s">
        <v>193</v>
      </c>
      <c r="B163" s="2" t="s">
        <v>23</v>
      </c>
      <c r="C163" s="2" t="s">
        <v>14</v>
      </c>
      <c r="D163" s="2" t="s">
        <v>24</v>
      </c>
      <c r="E163" s="2" t="str">
        <f>FlightOps[[#This Row],[Origin]]&amp;"-"&amp;FlightOps[[#This Row],[Destination]]</f>
        <v>Karachi-Lahore</v>
      </c>
      <c r="F163" s="3">
        <v>46001.78125</v>
      </c>
      <c r="G163" s="26">
        <f>HOUR(FlightOps[[#This Row],[ScheduledDeparture]])</f>
        <v>18</v>
      </c>
      <c r="H163" s="22">
        <v>33</v>
      </c>
      <c r="I163" s="2" t="s">
        <v>35</v>
      </c>
      <c r="J163" s="2">
        <v>186</v>
      </c>
      <c r="K163" s="2">
        <v>65</v>
      </c>
      <c r="L163" s="19">
        <f>FlightOps[[#This Row],[SeatsSold]]/FlightOps[[#This Row],[SeatsAvailable]]</f>
        <v>0.34946236559139787</v>
      </c>
      <c r="M163" s="2" t="s">
        <v>25</v>
      </c>
      <c r="N163" s="4">
        <v>85869.07</v>
      </c>
      <c r="O163" s="24">
        <f>FlightOps[[#This Row],[SeatsSold]]*FlightOps[[#This Row],[AvgTicketPrice]]</f>
        <v>5581489.5500000007</v>
      </c>
      <c r="P163" s="2" t="s">
        <v>26</v>
      </c>
    </row>
    <row r="164" spans="1:16" x14ac:dyDescent="0.25">
      <c r="A164" s="2" t="s">
        <v>194</v>
      </c>
      <c r="B164" s="2" t="s">
        <v>13</v>
      </c>
      <c r="C164" s="2" t="s">
        <v>14</v>
      </c>
      <c r="D164" s="2" t="s">
        <v>30</v>
      </c>
      <c r="E164" s="2" t="str">
        <f>FlightOps[[#This Row],[Origin]]&amp;"-"&amp;FlightOps[[#This Row],[Destination]]</f>
        <v>Karachi-Dubai</v>
      </c>
      <c r="F164" s="3">
        <v>46107.875</v>
      </c>
      <c r="G164" s="26">
        <f>HOUR(FlightOps[[#This Row],[ScheduledDeparture]])</f>
        <v>21</v>
      </c>
      <c r="H164" s="22">
        <v>68</v>
      </c>
      <c r="I164" s="2" t="s">
        <v>31</v>
      </c>
      <c r="J164" s="2">
        <v>220</v>
      </c>
      <c r="K164" s="2">
        <v>94</v>
      </c>
      <c r="L164" s="19">
        <f>FlightOps[[#This Row],[SeatsSold]]/FlightOps[[#This Row],[SeatsAvailable]]</f>
        <v>0.42727272727272725</v>
      </c>
      <c r="M164" s="2" t="s">
        <v>25</v>
      </c>
      <c r="N164" s="4">
        <v>71514.02</v>
      </c>
      <c r="O164" s="24">
        <f>FlightOps[[#This Row],[SeatsSold]]*FlightOps[[#This Row],[AvgTicketPrice]]</f>
        <v>6722317.8800000008</v>
      </c>
      <c r="P164" s="2" t="s">
        <v>39</v>
      </c>
    </row>
    <row r="165" spans="1:16" x14ac:dyDescent="0.25">
      <c r="A165" s="2" t="s">
        <v>195</v>
      </c>
      <c r="B165" s="2" t="s">
        <v>13</v>
      </c>
      <c r="C165" s="2" t="s">
        <v>14</v>
      </c>
      <c r="D165" s="2" t="s">
        <v>37</v>
      </c>
      <c r="E165" s="2" t="str">
        <f>FlightOps[[#This Row],[Origin]]&amp;"-"&amp;FlightOps[[#This Row],[Destination]]</f>
        <v>Karachi-Jeddah</v>
      </c>
      <c r="F165" s="3">
        <v>46138.375</v>
      </c>
      <c r="G165" s="26">
        <f>HOUR(FlightOps[[#This Row],[ScheduledDeparture]])</f>
        <v>9</v>
      </c>
      <c r="H165" s="22">
        <v>0</v>
      </c>
      <c r="I165" s="2" t="s">
        <v>20</v>
      </c>
      <c r="J165" s="2">
        <v>72</v>
      </c>
      <c r="K165" s="2">
        <v>36</v>
      </c>
      <c r="L165" s="19">
        <f>FlightOps[[#This Row],[SeatsSold]]/FlightOps[[#This Row],[SeatsAvailable]]</f>
        <v>0.5</v>
      </c>
      <c r="M165" s="2" t="s">
        <v>17</v>
      </c>
      <c r="N165" s="4">
        <v>48107.199999999997</v>
      </c>
      <c r="O165" s="24">
        <f>FlightOps[[#This Row],[SeatsSold]]*FlightOps[[#This Row],[AvgTicketPrice]]</f>
        <v>1731859.2</v>
      </c>
      <c r="P165" s="2" t="s">
        <v>18</v>
      </c>
    </row>
    <row r="166" spans="1:16" x14ac:dyDescent="0.25">
      <c r="A166" s="2" t="s">
        <v>196</v>
      </c>
      <c r="B166" s="2" t="s">
        <v>33</v>
      </c>
      <c r="C166" s="2" t="s">
        <v>24</v>
      </c>
      <c r="D166" s="2" t="s">
        <v>30</v>
      </c>
      <c r="E166" s="2" t="str">
        <f>FlightOps[[#This Row],[Origin]]&amp;"-"&amp;FlightOps[[#This Row],[Destination]]</f>
        <v>Lahore-Dubai</v>
      </c>
      <c r="F166" s="3">
        <v>46171.385416666701</v>
      </c>
      <c r="G166" s="26">
        <f>HOUR(FlightOps[[#This Row],[ScheduledDeparture]])</f>
        <v>9</v>
      </c>
      <c r="H166" s="22">
        <v>30</v>
      </c>
      <c r="I166" s="2" t="s">
        <v>20</v>
      </c>
      <c r="J166" s="2">
        <v>72</v>
      </c>
      <c r="K166" s="2">
        <v>45</v>
      </c>
      <c r="L166" s="19">
        <f>FlightOps[[#This Row],[SeatsSold]]/FlightOps[[#This Row],[SeatsAvailable]]</f>
        <v>0.625</v>
      </c>
      <c r="M166" s="2" t="s">
        <v>17</v>
      </c>
      <c r="N166" s="4">
        <v>56070.48</v>
      </c>
      <c r="O166" s="24">
        <f>FlightOps[[#This Row],[SeatsSold]]*FlightOps[[#This Row],[AvgTicketPrice]]</f>
        <v>2523171.6</v>
      </c>
      <c r="P166" s="2" t="s">
        <v>49</v>
      </c>
    </row>
    <row r="167" spans="1:16" x14ac:dyDescent="0.25">
      <c r="A167" s="2" t="s">
        <v>197</v>
      </c>
      <c r="B167" s="2" t="s">
        <v>23</v>
      </c>
      <c r="C167" s="2" t="s">
        <v>14</v>
      </c>
      <c r="D167" s="2" t="s">
        <v>15</v>
      </c>
      <c r="E167" s="2" t="str">
        <f>FlightOps[[#This Row],[Origin]]&amp;"-"&amp;FlightOps[[#This Row],[Destination]]</f>
        <v>Karachi-Islamabad</v>
      </c>
      <c r="F167" s="3">
        <v>45986.6875</v>
      </c>
      <c r="G167" s="26">
        <f>HOUR(FlightOps[[#This Row],[ScheduledDeparture]])</f>
        <v>16</v>
      </c>
      <c r="H167" s="22">
        <v>43</v>
      </c>
      <c r="I167" s="2" t="s">
        <v>31</v>
      </c>
      <c r="J167" s="2">
        <v>220</v>
      </c>
      <c r="K167" s="2">
        <v>99</v>
      </c>
      <c r="L167" s="19">
        <f>FlightOps[[#This Row],[SeatsSold]]/FlightOps[[#This Row],[SeatsAvailable]]</f>
        <v>0.45</v>
      </c>
      <c r="M167" s="2" t="s">
        <v>25</v>
      </c>
      <c r="N167" s="4">
        <v>147270.85</v>
      </c>
      <c r="O167" s="24">
        <f>FlightOps[[#This Row],[SeatsSold]]*FlightOps[[#This Row],[AvgTicketPrice]]</f>
        <v>14579814.15</v>
      </c>
      <c r="P167" s="2" t="s">
        <v>39</v>
      </c>
    </row>
    <row r="168" spans="1:16" x14ac:dyDescent="0.25">
      <c r="A168" s="2" t="s">
        <v>198</v>
      </c>
      <c r="B168" s="2" t="s">
        <v>23</v>
      </c>
      <c r="C168" s="2" t="s">
        <v>15</v>
      </c>
      <c r="D168" s="2" t="s">
        <v>37</v>
      </c>
      <c r="E168" s="2" t="str">
        <f>FlightOps[[#This Row],[Origin]]&amp;"-"&amp;FlightOps[[#This Row],[Destination]]</f>
        <v>Islamabad-Jeddah</v>
      </c>
      <c r="F168" s="3">
        <v>46154.5625</v>
      </c>
      <c r="G168" s="26">
        <f>HOUR(FlightOps[[#This Row],[ScheduledDeparture]])</f>
        <v>13</v>
      </c>
      <c r="H168" s="22">
        <v>0</v>
      </c>
      <c r="I168" s="2" t="s">
        <v>35</v>
      </c>
      <c r="J168" s="2">
        <v>186</v>
      </c>
      <c r="K168" s="2">
        <v>141</v>
      </c>
      <c r="L168" s="19">
        <f>FlightOps[[#This Row],[SeatsSold]]/FlightOps[[#This Row],[SeatsAvailable]]</f>
        <v>0.75806451612903225</v>
      </c>
      <c r="M168" s="2" t="s">
        <v>17</v>
      </c>
      <c r="N168" s="4">
        <v>56578.63</v>
      </c>
      <c r="O168" s="24">
        <f>FlightOps[[#This Row],[SeatsSold]]*FlightOps[[#This Row],[AvgTicketPrice]]</f>
        <v>7977586.8300000001</v>
      </c>
      <c r="P168" s="2" t="s">
        <v>18</v>
      </c>
    </row>
    <row r="169" spans="1:16" x14ac:dyDescent="0.25">
      <c r="A169" s="2" t="s">
        <v>199</v>
      </c>
      <c r="B169" s="2" t="s">
        <v>13</v>
      </c>
      <c r="C169" s="2" t="s">
        <v>24</v>
      </c>
      <c r="D169" s="2" t="s">
        <v>30</v>
      </c>
      <c r="E169" s="2" t="str">
        <f>FlightOps[[#This Row],[Origin]]&amp;"-"&amp;FlightOps[[#This Row],[Destination]]</f>
        <v>Lahore-Dubai</v>
      </c>
      <c r="F169" s="3">
        <v>46045.885416666701</v>
      </c>
      <c r="G169" s="26">
        <f>HOUR(FlightOps[[#This Row],[ScheduledDeparture]])</f>
        <v>21</v>
      </c>
      <c r="H169" s="22">
        <v>0</v>
      </c>
      <c r="I169" s="2" t="s">
        <v>31</v>
      </c>
      <c r="J169" s="2">
        <v>220</v>
      </c>
      <c r="K169" s="2">
        <v>94</v>
      </c>
      <c r="L169" s="19">
        <f>FlightOps[[#This Row],[SeatsSold]]/FlightOps[[#This Row],[SeatsAvailable]]</f>
        <v>0.42727272727272725</v>
      </c>
      <c r="M169" s="2" t="s">
        <v>25</v>
      </c>
      <c r="N169" s="4">
        <v>110986.63</v>
      </c>
      <c r="O169" s="24">
        <f>FlightOps[[#This Row],[SeatsSold]]*FlightOps[[#This Row],[AvgTicketPrice]]</f>
        <v>10432743.220000001</v>
      </c>
      <c r="P169" s="2" t="s">
        <v>18</v>
      </c>
    </row>
    <row r="170" spans="1:16" x14ac:dyDescent="0.25">
      <c r="A170" s="2" t="s">
        <v>200</v>
      </c>
      <c r="B170" s="2" t="s">
        <v>42</v>
      </c>
      <c r="C170" s="2" t="s">
        <v>15</v>
      </c>
      <c r="D170" s="2" t="s">
        <v>37</v>
      </c>
      <c r="E170" s="2" t="str">
        <f>FlightOps[[#This Row],[Origin]]&amp;"-"&amp;FlightOps[[#This Row],[Destination]]</f>
        <v>Islamabad-Jeddah</v>
      </c>
      <c r="F170" s="3">
        <v>45894.885416666701</v>
      </c>
      <c r="G170" s="26">
        <f>HOUR(FlightOps[[#This Row],[ScheduledDeparture]])</f>
        <v>21</v>
      </c>
      <c r="H170" s="22">
        <v>0</v>
      </c>
      <c r="I170" s="2" t="s">
        <v>35</v>
      </c>
      <c r="J170" s="2">
        <v>186</v>
      </c>
      <c r="K170" s="2">
        <v>127</v>
      </c>
      <c r="L170" s="19">
        <f>FlightOps[[#This Row],[SeatsSold]]/FlightOps[[#This Row],[SeatsAvailable]]</f>
        <v>0.68279569892473113</v>
      </c>
      <c r="M170" s="2" t="s">
        <v>17</v>
      </c>
      <c r="N170" s="4">
        <v>59894.11</v>
      </c>
      <c r="O170" s="24">
        <f>FlightOps[[#This Row],[SeatsSold]]*FlightOps[[#This Row],[AvgTicketPrice]]</f>
        <v>7606551.9699999997</v>
      </c>
      <c r="P170" s="2" t="s">
        <v>18</v>
      </c>
    </row>
    <row r="171" spans="1:16" x14ac:dyDescent="0.25">
      <c r="A171" s="2" t="s">
        <v>201</v>
      </c>
      <c r="B171" s="2" t="s">
        <v>13</v>
      </c>
      <c r="C171" s="2" t="s">
        <v>14</v>
      </c>
      <c r="D171" s="2" t="s">
        <v>24</v>
      </c>
      <c r="E171" s="2" t="str">
        <f>FlightOps[[#This Row],[Origin]]&amp;"-"&amp;FlightOps[[#This Row],[Destination]]</f>
        <v>Karachi-Lahore</v>
      </c>
      <c r="F171" s="3">
        <v>46039.979166666701</v>
      </c>
      <c r="G171" s="26">
        <f>HOUR(FlightOps[[#This Row],[ScheduledDeparture]])</f>
        <v>23</v>
      </c>
      <c r="H171" s="22">
        <v>1</v>
      </c>
      <c r="I171" s="2" t="s">
        <v>35</v>
      </c>
      <c r="J171" s="2">
        <v>186</v>
      </c>
      <c r="K171" s="2">
        <v>67</v>
      </c>
      <c r="L171" s="19">
        <f>FlightOps[[#This Row],[SeatsSold]]/FlightOps[[#This Row],[SeatsAvailable]]</f>
        <v>0.36021505376344087</v>
      </c>
      <c r="M171" s="2" t="s">
        <v>17</v>
      </c>
      <c r="N171" s="4">
        <v>51612.6</v>
      </c>
      <c r="O171" s="24">
        <f>FlightOps[[#This Row],[SeatsSold]]*FlightOps[[#This Row],[AvgTicketPrice]]</f>
        <v>3458044.1999999997</v>
      </c>
      <c r="P171" s="2" t="s">
        <v>39</v>
      </c>
    </row>
    <row r="172" spans="1:16" x14ac:dyDescent="0.25">
      <c r="A172" s="2" t="s">
        <v>202</v>
      </c>
      <c r="B172" s="2" t="s">
        <v>42</v>
      </c>
      <c r="C172" s="2" t="s">
        <v>24</v>
      </c>
      <c r="D172" s="2" t="s">
        <v>28</v>
      </c>
      <c r="E172" s="2" t="str">
        <f>FlightOps[[#This Row],[Origin]]&amp;"-"&amp;FlightOps[[#This Row],[Destination]]</f>
        <v>Lahore-London</v>
      </c>
      <c r="F172" s="3">
        <v>46141.333333333299</v>
      </c>
      <c r="G172" s="26">
        <f>HOUR(FlightOps[[#This Row],[ScheduledDeparture]])</f>
        <v>8</v>
      </c>
      <c r="H172" s="22">
        <v>4</v>
      </c>
      <c r="I172" s="2" t="s">
        <v>20</v>
      </c>
      <c r="J172" s="2">
        <v>72</v>
      </c>
      <c r="K172" s="2">
        <v>66</v>
      </c>
      <c r="L172" s="19">
        <f>FlightOps[[#This Row],[SeatsSold]]/FlightOps[[#This Row],[SeatsAvailable]]</f>
        <v>0.91666666666666663</v>
      </c>
      <c r="M172" s="2" t="s">
        <v>17</v>
      </c>
      <c r="N172" s="4">
        <v>49748.76</v>
      </c>
      <c r="O172" s="24">
        <f>FlightOps[[#This Row],[SeatsSold]]*FlightOps[[#This Row],[AvgTicketPrice]]</f>
        <v>3283418.16</v>
      </c>
      <c r="P172" s="2" t="s">
        <v>21</v>
      </c>
    </row>
    <row r="173" spans="1:16" x14ac:dyDescent="0.25">
      <c r="A173" s="2" t="s">
        <v>203</v>
      </c>
      <c r="B173" s="2" t="s">
        <v>33</v>
      </c>
      <c r="C173" s="2" t="s">
        <v>15</v>
      </c>
      <c r="D173" s="2" t="s">
        <v>37</v>
      </c>
      <c r="E173" s="2" t="str">
        <f>FlightOps[[#This Row],[Origin]]&amp;"-"&amp;FlightOps[[#This Row],[Destination]]</f>
        <v>Islamabad-Jeddah</v>
      </c>
      <c r="F173" s="3">
        <v>46044.40625</v>
      </c>
      <c r="G173" s="26">
        <f>HOUR(FlightOps[[#This Row],[ScheduledDeparture]])</f>
        <v>9</v>
      </c>
      <c r="H173" s="22">
        <v>39</v>
      </c>
      <c r="I173" s="2" t="s">
        <v>31</v>
      </c>
      <c r="J173" s="2">
        <v>220</v>
      </c>
      <c r="K173" s="2">
        <v>215</v>
      </c>
      <c r="L173" s="19">
        <f>FlightOps[[#This Row],[SeatsSold]]/FlightOps[[#This Row],[SeatsAvailable]]</f>
        <v>0.97727272727272729</v>
      </c>
      <c r="M173" s="2" t="s">
        <v>17</v>
      </c>
      <c r="N173" s="4">
        <v>31565.06</v>
      </c>
      <c r="O173" s="24">
        <f>FlightOps[[#This Row],[SeatsSold]]*FlightOps[[#This Row],[AvgTicketPrice]]</f>
        <v>6786487.9000000004</v>
      </c>
      <c r="P173" s="2" t="s">
        <v>49</v>
      </c>
    </row>
    <row r="174" spans="1:16" x14ac:dyDescent="0.25">
      <c r="A174" s="2" t="s">
        <v>204</v>
      </c>
      <c r="B174" s="2" t="s">
        <v>23</v>
      </c>
      <c r="C174" s="2" t="s">
        <v>14</v>
      </c>
      <c r="D174" s="2" t="s">
        <v>15</v>
      </c>
      <c r="E174" s="2" t="str">
        <f>FlightOps[[#This Row],[Origin]]&amp;"-"&amp;FlightOps[[#This Row],[Destination]]</f>
        <v>Karachi-Islamabad</v>
      </c>
      <c r="F174" s="3">
        <v>45965.40625</v>
      </c>
      <c r="G174" s="26">
        <f>HOUR(FlightOps[[#This Row],[ScheduledDeparture]])</f>
        <v>9</v>
      </c>
      <c r="H174" s="22">
        <v>7</v>
      </c>
      <c r="I174" s="2" t="s">
        <v>31</v>
      </c>
      <c r="J174" s="2">
        <v>220</v>
      </c>
      <c r="K174" s="2">
        <v>128</v>
      </c>
      <c r="L174" s="19">
        <f>FlightOps[[#This Row],[SeatsSold]]/FlightOps[[#This Row],[SeatsAvailable]]</f>
        <v>0.58181818181818179</v>
      </c>
      <c r="M174" s="2" t="s">
        <v>25</v>
      </c>
      <c r="N174" s="4">
        <v>51202.26</v>
      </c>
      <c r="O174" s="24">
        <f>FlightOps[[#This Row],[SeatsSold]]*FlightOps[[#This Row],[AvgTicketPrice]]</f>
        <v>6553889.2800000003</v>
      </c>
      <c r="P174" s="2" t="s">
        <v>21</v>
      </c>
    </row>
    <row r="175" spans="1:16" x14ac:dyDescent="0.25">
      <c r="A175" s="2" t="s">
        <v>205</v>
      </c>
      <c r="B175" s="2" t="s">
        <v>33</v>
      </c>
      <c r="C175" s="2" t="s">
        <v>24</v>
      </c>
      <c r="D175" s="2" t="s">
        <v>15</v>
      </c>
      <c r="E175" s="2" t="str">
        <f>FlightOps[[#This Row],[Origin]]&amp;"-"&amp;FlightOps[[#This Row],[Destination]]</f>
        <v>Lahore-Islamabad</v>
      </c>
      <c r="F175" s="3">
        <v>45881.46875</v>
      </c>
      <c r="G175" s="26">
        <f>HOUR(FlightOps[[#This Row],[ScheduledDeparture]])</f>
        <v>11</v>
      </c>
      <c r="H175" s="22">
        <v>28</v>
      </c>
      <c r="I175" s="2" t="s">
        <v>31</v>
      </c>
      <c r="J175" s="2">
        <v>220</v>
      </c>
      <c r="K175" s="2">
        <v>195</v>
      </c>
      <c r="L175" s="19">
        <f>FlightOps[[#This Row],[SeatsSold]]/FlightOps[[#This Row],[SeatsAvailable]]</f>
        <v>0.88636363636363635</v>
      </c>
      <c r="M175" s="2" t="s">
        <v>25</v>
      </c>
      <c r="N175" s="4">
        <v>128735.9</v>
      </c>
      <c r="O175" s="24">
        <f>FlightOps[[#This Row],[SeatsSold]]*FlightOps[[#This Row],[AvgTicketPrice]]</f>
        <v>25103500.5</v>
      </c>
      <c r="P175" s="2" t="s">
        <v>21</v>
      </c>
    </row>
    <row r="176" spans="1:16" x14ac:dyDescent="0.25">
      <c r="A176" s="2" t="s">
        <v>206</v>
      </c>
      <c r="B176" s="2" t="s">
        <v>42</v>
      </c>
      <c r="C176" s="2" t="s">
        <v>24</v>
      </c>
      <c r="D176" s="2" t="s">
        <v>15</v>
      </c>
      <c r="E176" s="2" t="str">
        <f>FlightOps[[#This Row],[Origin]]&amp;"-"&amp;FlightOps[[#This Row],[Destination]]</f>
        <v>Lahore-Islamabad</v>
      </c>
      <c r="F176" s="3">
        <v>45984.895833333299</v>
      </c>
      <c r="G176" s="26">
        <f>HOUR(FlightOps[[#This Row],[ScheduledDeparture]])</f>
        <v>21</v>
      </c>
      <c r="H176" s="22">
        <v>52</v>
      </c>
      <c r="I176" s="2" t="s">
        <v>20</v>
      </c>
      <c r="J176" s="2">
        <v>72</v>
      </c>
      <c r="K176" s="2">
        <v>32</v>
      </c>
      <c r="L176" s="19">
        <f>FlightOps[[#This Row],[SeatsSold]]/FlightOps[[#This Row],[SeatsAvailable]]</f>
        <v>0.44444444444444442</v>
      </c>
      <c r="M176" s="2" t="s">
        <v>17</v>
      </c>
      <c r="N176" s="4">
        <v>11168.75</v>
      </c>
      <c r="O176" s="24">
        <f>FlightOps[[#This Row],[SeatsSold]]*FlightOps[[#This Row],[AvgTicketPrice]]</f>
        <v>357400</v>
      </c>
      <c r="P176" s="2" t="s">
        <v>49</v>
      </c>
    </row>
    <row r="177" spans="1:16" x14ac:dyDescent="0.25">
      <c r="A177" s="2" t="s">
        <v>207</v>
      </c>
      <c r="B177" s="2" t="s">
        <v>23</v>
      </c>
      <c r="C177" s="2" t="s">
        <v>24</v>
      </c>
      <c r="D177" s="2" t="s">
        <v>15</v>
      </c>
      <c r="E177" s="2" t="str">
        <f>FlightOps[[#This Row],[Origin]]&amp;"-"&amp;FlightOps[[#This Row],[Destination]]</f>
        <v>Lahore-Islamabad</v>
      </c>
      <c r="F177" s="3">
        <v>45849.770833333299</v>
      </c>
      <c r="G177" s="26">
        <f>HOUR(FlightOps[[#This Row],[ScheduledDeparture]])</f>
        <v>18</v>
      </c>
      <c r="H177" s="22">
        <v>0</v>
      </c>
      <c r="I177" s="2" t="s">
        <v>20</v>
      </c>
      <c r="J177" s="2">
        <v>72</v>
      </c>
      <c r="K177" s="2">
        <v>32</v>
      </c>
      <c r="L177" s="19">
        <f>FlightOps[[#This Row],[SeatsSold]]/FlightOps[[#This Row],[SeatsAvailable]]</f>
        <v>0.44444444444444442</v>
      </c>
      <c r="M177" s="2" t="s">
        <v>17</v>
      </c>
      <c r="N177" s="4">
        <v>22000.48</v>
      </c>
      <c r="O177" s="24">
        <f>FlightOps[[#This Row],[SeatsSold]]*FlightOps[[#This Row],[AvgTicketPrice]]</f>
        <v>704015.35999999999</v>
      </c>
      <c r="P177" s="2" t="s">
        <v>18</v>
      </c>
    </row>
    <row r="178" spans="1:16" x14ac:dyDescent="0.25">
      <c r="A178" s="2" t="s">
        <v>208</v>
      </c>
      <c r="B178" s="2" t="s">
        <v>13</v>
      </c>
      <c r="C178" s="2" t="s">
        <v>14</v>
      </c>
      <c r="D178" s="2" t="s">
        <v>15</v>
      </c>
      <c r="E178" s="2" t="str">
        <f>FlightOps[[#This Row],[Origin]]&amp;"-"&amp;FlightOps[[#This Row],[Destination]]</f>
        <v>Karachi-Islamabad</v>
      </c>
      <c r="F178" s="3">
        <v>45847.916666666701</v>
      </c>
      <c r="G178" s="26">
        <f>HOUR(FlightOps[[#This Row],[ScheduledDeparture]])</f>
        <v>22</v>
      </c>
      <c r="H178" s="22">
        <v>40</v>
      </c>
      <c r="I178" s="2" t="s">
        <v>31</v>
      </c>
      <c r="J178" s="2">
        <v>220</v>
      </c>
      <c r="K178" s="2">
        <v>169</v>
      </c>
      <c r="L178" s="19">
        <f>FlightOps[[#This Row],[SeatsSold]]/FlightOps[[#This Row],[SeatsAvailable]]</f>
        <v>0.76818181818181819</v>
      </c>
      <c r="M178" s="2" t="s">
        <v>25</v>
      </c>
      <c r="N178" s="4">
        <v>134184.85999999999</v>
      </c>
      <c r="O178" s="24">
        <f>FlightOps[[#This Row],[SeatsSold]]*FlightOps[[#This Row],[AvgTicketPrice]]</f>
        <v>22677241.339999996</v>
      </c>
      <c r="P178" s="2" t="s">
        <v>21</v>
      </c>
    </row>
    <row r="179" spans="1:16" x14ac:dyDescent="0.25">
      <c r="A179" s="2" t="s">
        <v>209</v>
      </c>
      <c r="B179" s="2" t="s">
        <v>13</v>
      </c>
      <c r="C179" s="2" t="s">
        <v>24</v>
      </c>
      <c r="D179" s="2" t="s">
        <v>15</v>
      </c>
      <c r="E179" s="2" t="str">
        <f>FlightOps[[#This Row],[Origin]]&amp;"-"&amp;FlightOps[[#This Row],[Destination]]</f>
        <v>Lahore-Islamabad</v>
      </c>
      <c r="F179" s="3">
        <v>45881.875</v>
      </c>
      <c r="G179" s="26">
        <f>HOUR(FlightOps[[#This Row],[ScheduledDeparture]])</f>
        <v>21</v>
      </c>
      <c r="H179" s="22">
        <v>0</v>
      </c>
      <c r="I179" s="2" t="s">
        <v>20</v>
      </c>
      <c r="J179" s="2">
        <v>72</v>
      </c>
      <c r="K179" s="2">
        <v>64</v>
      </c>
      <c r="L179" s="19">
        <f>FlightOps[[#This Row],[SeatsSold]]/FlightOps[[#This Row],[SeatsAvailable]]</f>
        <v>0.88888888888888884</v>
      </c>
      <c r="M179" s="2" t="s">
        <v>25</v>
      </c>
      <c r="N179" s="4">
        <v>52676.81</v>
      </c>
      <c r="O179" s="24">
        <f>FlightOps[[#This Row],[SeatsSold]]*FlightOps[[#This Row],[AvgTicketPrice]]</f>
        <v>3371315.84</v>
      </c>
      <c r="P179" s="2" t="s">
        <v>18</v>
      </c>
    </row>
    <row r="180" spans="1:16" x14ac:dyDescent="0.25">
      <c r="A180" s="2" t="s">
        <v>210</v>
      </c>
      <c r="B180" s="2" t="s">
        <v>13</v>
      </c>
      <c r="C180" s="2" t="s">
        <v>14</v>
      </c>
      <c r="D180" s="2" t="s">
        <v>24</v>
      </c>
      <c r="E180" s="2" t="str">
        <f>FlightOps[[#This Row],[Origin]]&amp;"-"&amp;FlightOps[[#This Row],[Destination]]</f>
        <v>Karachi-Lahore</v>
      </c>
      <c r="F180" s="3">
        <v>45972.666666666701</v>
      </c>
      <c r="G180" s="26">
        <f>HOUR(FlightOps[[#This Row],[ScheduledDeparture]])</f>
        <v>16</v>
      </c>
      <c r="H180" s="22">
        <v>43</v>
      </c>
      <c r="I180" s="2" t="s">
        <v>16</v>
      </c>
      <c r="J180" s="2">
        <v>180</v>
      </c>
      <c r="K180" s="2">
        <v>125</v>
      </c>
      <c r="L180" s="19">
        <f>FlightOps[[#This Row],[SeatsSold]]/FlightOps[[#This Row],[SeatsAvailable]]</f>
        <v>0.69444444444444442</v>
      </c>
      <c r="M180" s="2" t="s">
        <v>25</v>
      </c>
      <c r="N180" s="4">
        <v>126158.72</v>
      </c>
      <c r="O180" s="24">
        <f>FlightOps[[#This Row],[SeatsSold]]*FlightOps[[#This Row],[AvgTicketPrice]]</f>
        <v>15769840</v>
      </c>
      <c r="P180" s="2" t="s">
        <v>26</v>
      </c>
    </row>
    <row r="181" spans="1:16" x14ac:dyDescent="0.25">
      <c r="A181" s="2" t="s">
        <v>211</v>
      </c>
      <c r="B181" s="2" t="s">
        <v>33</v>
      </c>
      <c r="C181" s="2" t="s">
        <v>24</v>
      </c>
      <c r="D181" s="2" t="s">
        <v>28</v>
      </c>
      <c r="E181" s="2" t="str">
        <f>FlightOps[[#This Row],[Origin]]&amp;"-"&amp;FlightOps[[#This Row],[Destination]]</f>
        <v>Lahore-London</v>
      </c>
      <c r="F181" s="3">
        <v>46057.354166666701</v>
      </c>
      <c r="G181" s="26">
        <f>HOUR(FlightOps[[#This Row],[ScheduledDeparture]])</f>
        <v>8</v>
      </c>
      <c r="H181" s="22">
        <v>35</v>
      </c>
      <c r="I181" s="2" t="s">
        <v>35</v>
      </c>
      <c r="J181" s="2">
        <v>186</v>
      </c>
      <c r="K181" s="2">
        <v>153</v>
      </c>
      <c r="L181" s="19">
        <f>FlightOps[[#This Row],[SeatsSold]]/FlightOps[[#This Row],[SeatsAvailable]]</f>
        <v>0.82258064516129037</v>
      </c>
      <c r="M181" s="2" t="s">
        <v>17</v>
      </c>
      <c r="N181" s="4">
        <v>18045.73</v>
      </c>
      <c r="O181" s="24">
        <f>FlightOps[[#This Row],[SeatsSold]]*FlightOps[[#This Row],[AvgTicketPrice]]</f>
        <v>2760996.69</v>
      </c>
      <c r="P181" s="2" t="s">
        <v>49</v>
      </c>
    </row>
    <row r="182" spans="1:16" x14ac:dyDescent="0.25">
      <c r="A182" s="2" t="s">
        <v>212</v>
      </c>
      <c r="B182" s="2" t="s">
        <v>23</v>
      </c>
      <c r="C182" s="2" t="s">
        <v>14</v>
      </c>
      <c r="D182" s="2" t="s">
        <v>24</v>
      </c>
      <c r="E182" s="2" t="str">
        <f>FlightOps[[#This Row],[Origin]]&amp;"-"&amp;FlightOps[[#This Row],[Destination]]</f>
        <v>Karachi-Lahore</v>
      </c>
      <c r="F182" s="3">
        <v>46007.375</v>
      </c>
      <c r="G182" s="26">
        <f>HOUR(FlightOps[[#This Row],[ScheduledDeparture]])</f>
        <v>9</v>
      </c>
      <c r="H182" s="22">
        <v>0</v>
      </c>
      <c r="I182" s="2" t="s">
        <v>20</v>
      </c>
      <c r="J182" s="2">
        <v>72</v>
      </c>
      <c r="K182" s="2">
        <v>39</v>
      </c>
      <c r="L182" s="19">
        <f>FlightOps[[#This Row],[SeatsSold]]/FlightOps[[#This Row],[SeatsAvailable]]</f>
        <v>0.54166666666666663</v>
      </c>
      <c r="M182" s="2" t="s">
        <v>17</v>
      </c>
      <c r="N182" s="4">
        <v>37087</v>
      </c>
      <c r="O182" s="24">
        <f>FlightOps[[#This Row],[SeatsSold]]*FlightOps[[#This Row],[AvgTicketPrice]]</f>
        <v>1446393</v>
      </c>
      <c r="P182" s="2" t="s">
        <v>18</v>
      </c>
    </row>
    <row r="183" spans="1:16" x14ac:dyDescent="0.25">
      <c r="A183" s="2" t="s">
        <v>213</v>
      </c>
      <c r="B183" s="2" t="s">
        <v>33</v>
      </c>
      <c r="C183" s="2" t="s">
        <v>14</v>
      </c>
      <c r="D183" s="2" t="s">
        <v>30</v>
      </c>
      <c r="E183" s="2" t="str">
        <f>FlightOps[[#This Row],[Origin]]&amp;"-"&amp;FlightOps[[#This Row],[Destination]]</f>
        <v>Karachi-Dubai</v>
      </c>
      <c r="F183" s="3">
        <v>45962.895833333299</v>
      </c>
      <c r="G183" s="26">
        <f>HOUR(FlightOps[[#This Row],[ScheduledDeparture]])</f>
        <v>21</v>
      </c>
      <c r="H183" s="22">
        <v>28</v>
      </c>
      <c r="I183" s="2" t="s">
        <v>16</v>
      </c>
      <c r="J183" s="2">
        <v>180</v>
      </c>
      <c r="K183" s="2">
        <v>91</v>
      </c>
      <c r="L183" s="19">
        <f>FlightOps[[#This Row],[SeatsSold]]/FlightOps[[#This Row],[SeatsAvailable]]</f>
        <v>0.50555555555555554</v>
      </c>
      <c r="M183" s="2" t="s">
        <v>17</v>
      </c>
      <c r="N183" s="4">
        <v>57123.08</v>
      </c>
      <c r="O183" s="24">
        <f>FlightOps[[#This Row],[SeatsSold]]*FlightOps[[#This Row],[AvgTicketPrice]]</f>
        <v>5198200.28</v>
      </c>
      <c r="P183" s="2" t="s">
        <v>26</v>
      </c>
    </row>
    <row r="184" spans="1:16" x14ac:dyDescent="0.25">
      <c r="A184" s="2" t="s">
        <v>214</v>
      </c>
      <c r="B184" s="2" t="s">
        <v>13</v>
      </c>
      <c r="C184" s="2" t="s">
        <v>14</v>
      </c>
      <c r="D184" s="2" t="s">
        <v>30</v>
      </c>
      <c r="E184" s="2" t="str">
        <f>FlightOps[[#This Row],[Origin]]&amp;"-"&amp;FlightOps[[#This Row],[Destination]]</f>
        <v>Karachi-Dubai</v>
      </c>
      <c r="F184" s="3">
        <v>45940.364583333299</v>
      </c>
      <c r="G184" s="26">
        <f>HOUR(FlightOps[[#This Row],[ScheduledDeparture]])</f>
        <v>8</v>
      </c>
      <c r="H184" s="22">
        <v>63</v>
      </c>
      <c r="I184" s="2" t="s">
        <v>20</v>
      </c>
      <c r="J184" s="2">
        <v>72</v>
      </c>
      <c r="K184" s="2">
        <v>40</v>
      </c>
      <c r="L184" s="19">
        <f>FlightOps[[#This Row],[SeatsSold]]/FlightOps[[#This Row],[SeatsAvailable]]</f>
        <v>0.55555555555555558</v>
      </c>
      <c r="M184" s="2" t="s">
        <v>25</v>
      </c>
      <c r="N184" s="4">
        <v>126157.29</v>
      </c>
      <c r="O184" s="24">
        <f>FlightOps[[#This Row],[SeatsSold]]*FlightOps[[#This Row],[AvgTicketPrice]]</f>
        <v>5046291.5999999996</v>
      </c>
      <c r="P184" s="2" t="s">
        <v>21</v>
      </c>
    </row>
    <row r="185" spans="1:16" x14ac:dyDescent="0.25">
      <c r="A185" s="2" t="s">
        <v>215</v>
      </c>
      <c r="B185" s="2" t="s">
        <v>23</v>
      </c>
      <c r="C185" s="2" t="s">
        <v>24</v>
      </c>
      <c r="D185" s="2" t="s">
        <v>15</v>
      </c>
      <c r="E185" s="2" t="str">
        <f>FlightOps[[#This Row],[Origin]]&amp;"-"&amp;FlightOps[[#This Row],[Destination]]</f>
        <v>Lahore-Islamabad</v>
      </c>
      <c r="F185" s="3">
        <v>46032.854166666701</v>
      </c>
      <c r="G185" s="26">
        <f>HOUR(FlightOps[[#This Row],[ScheduledDeparture]])</f>
        <v>20</v>
      </c>
      <c r="H185" s="22">
        <v>26</v>
      </c>
      <c r="I185" s="2" t="s">
        <v>20</v>
      </c>
      <c r="J185" s="2">
        <v>72</v>
      </c>
      <c r="K185" s="2">
        <v>52</v>
      </c>
      <c r="L185" s="19">
        <f>FlightOps[[#This Row],[SeatsSold]]/FlightOps[[#This Row],[SeatsAvailable]]</f>
        <v>0.72222222222222221</v>
      </c>
      <c r="M185" s="2" t="s">
        <v>17</v>
      </c>
      <c r="N185" s="4">
        <v>10145</v>
      </c>
      <c r="O185" s="24">
        <f>FlightOps[[#This Row],[SeatsSold]]*FlightOps[[#This Row],[AvgTicketPrice]]</f>
        <v>527540</v>
      </c>
      <c r="P185" s="2" t="s">
        <v>21</v>
      </c>
    </row>
    <row r="186" spans="1:16" x14ac:dyDescent="0.25">
      <c r="A186" s="2" t="s">
        <v>216</v>
      </c>
      <c r="B186" s="2" t="s">
        <v>13</v>
      </c>
      <c r="C186" s="2" t="s">
        <v>14</v>
      </c>
      <c r="D186" s="2" t="s">
        <v>24</v>
      </c>
      <c r="E186" s="2" t="str">
        <f>FlightOps[[#This Row],[Origin]]&amp;"-"&amp;FlightOps[[#This Row],[Destination]]</f>
        <v>Karachi-Lahore</v>
      </c>
      <c r="F186" s="3">
        <v>45931.239583333299</v>
      </c>
      <c r="G186" s="26">
        <f>HOUR(FlightOps[[#This Row],[ScheduledDeparture]])</f>
        <v>5</v>
      </c>
      <c r="H186" s="22">
        <v>10</v>
      </c>
      <c r="I186" s="2" t="s">
        <v>35</v>
      </c>
      <c r="J186" s="2">
        <v>186</v>
      </c>
      <c r="K186" s="2">
        <v>72</v>
      </c>
      <c r="L186" s="19">
        <f>FlightOps[[#This Row],[SeatsSold]]/FlightOps[[#This Row],[SeatsAvailable]]</f>
        <v>0.38709677419354838</v>
      </c>
      <c r="M186" s="2" t="s">
        <v>17</v>
      </c>
      <c r="N186" s="4">
        <v>50957.41</v>
      </c>
      <c r="O186" s="24">
        <f>FlightOps[[#This Row],[SeatsSold]]*FlightOps[[#This Row],[AvgTicketPrice]]</f>
        <v>3668933.5200000005</v>
      </c>
      <c r="P186" s="2" t="s">
        <v>26</v>
      </c>
    </row>
    <row r="187" spans="1:16" x14ac:dyDescent="0.25">
      <c r="A187" s="2" t="s">
        <v>217</v>
      </c>
      <c r="B187" s="2" t="s">
        <v>23</v>
      </c>
      <c r="C187" s="2" t="s">
        <v>15</v>
      </c>
      <c r="D187" s="2" t="s">
        <v>37</v>
      </c>
      <c r="E187" s="2" t="str">
        <f>FlightOps[[#This Row],[Origin]]&amp;"-"&amp;FlightOps[[#This Row],[Destination]]</f>
        <v>Islamabad-Jeddah</v>
      </c>
      <c r="F187" s="3">
        <v>46040.875</v>
      </c>
      <c r="G187" s="26">
        <f>HOUR(FlightOps[[#This Row],[ScheduledDeparture]])</f>
        <v>21</v>
      </c>
      <c r="H187" s="22">
        <v>0</v>
      </c>
      <c r="I187" s="2" t="s">
        <v>31</v>
      </c>
      <c r="J187" s="2">
        <v>220</v>
      </c>
      <c r="K187" s="2">
        <v>180</v>
      </c>
      <c r="L187" s="19">
        <f>FlightOps[[#This Row],[SeatsSold]]/FlightOps[[#This Row],[SeatsAvailable]]</f>
        <v>0.81818181818181823</v>
      </c>
      <c r="M187" s="2" t="s">
        <v>25</v>
      </c>
      <c r="N187" s="4">
        <v>119975.31</v>
      </c>
      <c r="O187" s="24">
        <f>FlightOps[[#This Row],[SeatsSold]]*FlightOps[[#This Row],[AvgTicketPrice]]</f>
        <v>21595555.800000001</v>
      </c>
      <c r="P187" s="2" t="s">
        <v>18</v>
      </c>
    </row>
    <row r="188" spans="1:16" x14ac:dyDescent="0.25">
      <c r="A188" s="2" t="s">
        <v>218</v>
      </c>
      <c r="B188" s="2" t="s">
        <v>13</v>
      </c>
      <c r="C188" s="2" t="s">
        <v>14</v>
      </c>
      <c r="D188" s="2" t="s">
        <v>37</v>
      </c>
      <c r="E188" s="2" t="str">
        <f>FlightOps[[#This Row],[Origin]]&amp;"-"&amp;FlightOps[[#This Row],[Destination]]</f>
        <v>Karachi-Jeddah</v>
      </c>
      <c r="F188" s="3">
        <v>46007.322916666701</v>
      </c>
      <c r="G188" s="26">
        <f>HOUR(FlightOps[[#This Row],[ScheduledDeparture]])</f>
        <v>7</v>
      </c>
      <c r="H188" s="22">
        <v>0</v>
      </c>
      <c r="I188" s="2" t="s">
        <v>20</v>
      </c>
      <c r="J188" s="2">
        <v>72</v>
      </c>
      <c r="K188" s="2">
        <v>27</v>
      </c>
      <c r="L188" s="19">
        <f>FlightOps[[#This Row],[SeatsSold]]/FlightOps[[#This Row],[SeatsAvailable]]</f>
        <v>0.375</v>
      </c>
      <c r="M188" s="2" t="s">
        <v>17</v>
      </c>
      <c r="N188" s="4">
        <v>13224.74</v>
      </c>
      <c r="O188" s="24">
        <f>FlightOps[[#This Row],[SeatsSold]]*FlightOps[[#This Row],[AvgTicketPrice]]</f>
        <v>357067.98</v>
      </c>
      <c r="P188" s="2" t="s">
        <v>18</v>
      </c>
    </row>
    <row r="189" spans="1:16" x14ac:dyDescent="0.25">
      <c r="A189" s="2" t="s">
        <v>219</v>
      </c>
      <c r="B189" s="2" t="s">
        <v>23</v>
      </c>
      <c r="C189" s="2" t="s">
        <v>14</v>
      </c>
      <c r="D189" s="2" t="s">
        <v>30</v>
      </c>
      <c r="E189" s="2" t="str">
        <f>FlightOps[[#This Row],[Origin]]&amp;"-"&amp;FlightOps[[#This Row],[Destination]]</f>
        <v>Karachi-Dubai</v>
      </c>
      <c r="F189" s="3">
        <v>45925.729166666701</v>
      </c>
      <c r="G189" s="26">
        <f>HOUR(FlightOps[[#This Row],[ScheduledDeparture]])</f>
        <v>17</v>
      </c>
      <c r="H189" s="22">
        <v>0</v>
      </c>
      <c r="I189" s="2" t="s">
        <v>35</v>
      </c>
      <c r="J189" s="2">
        <v>186</v>
      </c>
      <c r="K189" s="2">
        <v>130</v>
      </c>
      <c r="L189" s="19">
        <f>FlightOps[[#This Row],[SeatsSold]]/FlightOps[[#This Row],[SeatsAvailable]]</f>
        <v>0.69892473118279574</v>
      </c>
      <c r="M189" s="2" t="s">
        <v>25</v>
      </c>
      <c r="N189" s="4">
        <v>103368.94</v>
      </c>
      <c r="O189" s="24">
        <f>FlightOps[[#This Row],[SeatsSold]]*FlightOps[[#This Row],[AvgTicketPrice]]</f>
        <v>13437962.200000001</v>
      </c>
      <c r="P189" s="2" t="s">
        <v>18</v>
      </c>
    </row>
    <row r="190" spans="1:16" x14ac:dyDescent="0.25">
      <c r="A190" s="2" t="s">
        <v>220</v>
      </c>
      <c r="B190" s="2" t="s">
        <v>23</v>
      </c>
      <c r="C190" s="2" t="s">
        <v>14</v>
      </c>
      <c r="D190" s="2" t="s">
        <v>15</v>
      </c>
      <c r="E190" s="2" t="str">
        <f>FlightOps[[#This Row],[Origin]]&amp;"-"&amp;FlightOps[[#This Row],[Destination]]</f>
        <v>Karachi-Islamabad</v>
      </c>
      <c r="F190" s="3">
        <v>46052.677083333299</v>
      </c>
      <c r="G190" s="26">
        <f>HOUR(FlightOps[[#This Row],[ScheduledDeparture]])</f>
        <v>16</v>
      </c>
      <c r="H190" s="22">
        <v>0</v>
      </c>
      <c r="I190" s="2" t="s">
        <v>16</v>
      </c>
      <c r="J190" s="2">
        <v>180</v>
      </c>
      <c r="K190" s="2">
        <v>146</v>
      </c>
      <c r="L190" s="19">
        <f>FlightOps[[#This Row],[SeatsSold]]/FlightOps[[#This Row],[SeatsAvailable]]</f>
        <v>0.81111111111111112</v>
      </c>
      <c r="M190" s="2" t="s">
        <v>17</v>
      </c>
      <c r="N190" s="4">
        <v>34300.120000000003</v>
      </c>
      <c r="O190" s="24">
        <f>FlightOps[[#This Row],[SeatsSold]]*FlightOps[[#This Row],[AvgTicketPrice]]</f>
        <v>5007817.5200000005</v>
      </c>
      <c r="P190" s="2" t="s">
        <v>18</v>
      </c>
    </row>
    <row r="191" spans="1:16" x14ac:dyDescent="0.25">
      <c r="A191" s="2" t="s">
        <v>221</v>
      </c>
      <c r="B191" s="2" t="s">
        <v>13</v>
      </c>
      <c r="C191" s="2" t="s">
        <v>14</v>
      </c>
      <c r="D191" s="2" t="s">
        <v>15</v>
      </c>
      <c r="E191" s="2" t="str">
        <f>FlightOps[[#This Row],[Origin]]&amp;"-"&amp;FlightOps[[#This Row],[Destination]]</f>
        <v>Karachi-Islamabad</v>
      </c>
      <c r="F191" s="3">
        <v>46101.1875</v>
      </c>
      <c r="G191" s="26">
        <f>HOUR(FlightOps[[#This Row],[ScheduledDeparture]])</f>
        <v>4</v>
      </c>
      <c r="H191" s="22">
        <v>0</v>
      </c>
      <c r="I191" s="2" t="s">
        <v>31</v>
      </c>
      <c r="J191" s="2">
        <v>220</v>
      </c>
      <c r="K191" s="2">
        <v>107</v>
      </c>
      <c r="L191" s="19">
        <f>FlightOps[[#This Row],[SeatsSold]]/FlightOps[[#This Row],[SeatsAvailable]]</f>
        <v>0.48636363636363639</v>
      </c>
      <c r="M191" s="2" t="s">
        <v>17</v>
      </c>
      <c r="N191" s="4">
        <v>35366.6</v>
      </c>
      <c r="O191" s="24">
        <f>FlightOps[[#This Row],[SeatsSold]]*FlightOps[[#This Row],[AvgTicketPrice]]</f>
        <v>3784226.1999999997</v>
      </c>
      <c r="P191" s="2" t="s">
        <v>18</v>
      </c>
    </row>
    <row r="192" spans="1:16" x14ac:dyDescent="0.25">
      <c r="A192" s="2" t="s">
        <v>222</v>
      </c>
      <c r="B192" s="2" t="s">
        <v>42</v>
      </c>
      <c r="C192" s="2" t="s">
        <v>14</v>
      </c>
      <c r="D192" s="2" t="s">
        <v>37</v>
      </c>
      <c r="E192" s="2" t="str">
        <f>FlightOps[[#This Row],[Origin]]&amp;"-"&amp;FlightOps[[#This Row],[Destination]]</f>
        <v>Karachi-Jeddah</v>
      </c>
      <c r="F192" s="3">
        <v>45999.260416666701</v>
      </c>
      <c r="G192" s="26">
        <f>HOUR(FlightOps[[#This Row],[ScheduledDeparture]])</f>
        <v>6</v>
      </c>
      <c r="H192" s="22">
        <v>7</v>
      </c>
      <c r="I192" s="2" t="s">
        <v>16</v>
      </c>
      <c r="J192" s="2">
        <v>180</v>
      </c>
      <c r="K192" s="2">
        <v>132</v>
      </c>
      <c r="L192" s="19">
        <f>FlightOps[[#This Row],[SeatsSold]]/FlightOps[[#This Row],[SeatsAvailable]]</f>
        <v>0.73333333333333328</v>
      </c>
      <c r="M192" s="2" t="s">
        <v>25</v>
      </c>
      <c r="N192" s="4">
        <v>138320.79999999999</v>
      </c>
      <c r="O192" s="24">
        <f>FlightOps[[#This Row],[SeatsSold]]*FlightOps[[#This Row],[AvgTicketPrice]]</f>
        <v>18258345.599999998</v>
      </c>
      <c r="P192" s="2" t="s">
        <v>39</v>
      </c>
    </row>
    <row r="193" spans="1:16" x14ac:dyDescent="0.25">
      <c r="A193" s="2" t="s">
        <v>223</v>
      </c>
      <c r="B193" s="2" t="s">
        <v>33</v>
      </c>
      <c r="C193" s="2" t="s">
        <v>14</v>
      </c>
      <c r="D193" s="2" t="s">
        <v>37</v>
      </c>
      <c r="E193" s="2" t="str">
        <f>FlightOps[[#This Row],[Origin]]&amp;"-"&amp;FlightOps[[#This Row],[Destination]]</f>
        <v>Karachi-Jeddah</v>
      </c>
      <c r="F193" s="3">
        <v>46034.4375</v>
      </c>
      <c r="G193" s="26">
        <f>HOUR(FlightOps[[#This Row],[ScheduledDeparture]])</f>
        <v>10</v>
      </c>
      <c r="H193" s="22">
        <v>0</v>
      </c>
      <c r="I193" s="2" t="s">
        <v>16</v>
      </c>
      <c r="J193" s="2">
        <v>180</v>
      </c>
      <c r="K193" s="2">
        <v>64</v>
      </c>
      <c r="L193" s="19">
        <f>FlightOps[[#This Row],[SeatsSold]]/FlightOps[[#This Row],[SeatsAvailable]]</f>
        <v>0.35555555555555557</v>
      </c>
      <c r="M193" s="2" t="s">
        <v>25</v>
      </c>
      <c r="N193" s="4">
        <v>116429.29</v>
      </c>
      <c r="O193" s="24">
        <f>FlightOps[[#This Row],[SeatsSold]]*FlightOps[[#This Row],[AvgTicketPrice]]</f>
        <v>7451474.5599999996</v>
      </c>
      <c r="P193" s="2" t="s">
        <v>18</v>
      </c>
    </row>
    <row r="194" spans="1:16" x14ac:dyDescent="0.25">
      <c r="A194" s="2" t="s">
        <v>224</v>
      </c>
      <c r="B194" s="2" t="s">
        <v>23</v>
      </c>
      <c r="C194" s="2" t="s">
        <v>14</v>
      </c>
      <c r="D194" s="2" t="s">
        <v>37</v>
      </c>
      <c r="E194" s="2" t="str">
        <f>FlightOps[[#This Row],[Origin]]&amp;"-"&amp;FlightOps[[#This Row],[Destination]]</f>
        <v>Karachi-Jeddah</v>
      </c>
      <c r="F194" s="3">
        <v>46050.510416666701</v>
      </c>
      <c r="G194" s="26">
        <f>HOUR(FlightOps[[#This Row],[ScheduledDeparture]])</f>
        <v>12</v>
      </c>
      <c r="H194" s="22">
        <v>11</v>
      </c>
      <c r="I194" s="2" t="s">
        <v>20</v>
      </c>
      <c r="J194" s="2">
        <v>72</v>
      </c>
      <c r="K194" s="2">
        <v>57</v>
      </c>
      <c r="L194" s="19">
        <f>FlightOps[[#This Row],[SeatsSold]]/FlightOps[[#This Row],[SeatsAvailable]]</f>
        <v>0.79166666666666663</v>
      </c>
      <c r="M194" s="2" t="s">
        <v>17</v>
      </c>
      <c r="N194" s="4">
        <v>16934.53</v>
      </c>
      <c r="O194" s="24">
        <f>FlightOps[[#This Row],[SeatsSold]]*FlightOps[[#This Row],[AvgTicketPrice]]</f>
        <v>965268.21</v>
      </c>
      <c r="P194" s="2" t="s">
        <v>49</v>
      </c>
    </row>
    <row r="195" spans="1:16" x14ac:dyDescent="0.25">
      <c r="A195" s="2" t="s">
        <v>225</v>
      </c>
      <c r="B195" s="2" t="s">
        <v>13</v>
      </c>
      <c r="C195" s="2" t="s">
        <v>14</v>
      </c>
      <c r="D195" s="2" t="s">
        <v>37</v>
      </c>
      <c r="E195" s="2" t="str">
        <f>FlightOps[[#This Row],[Origin]]&amp;"-"&amp;FlightOps[[#This Row],[Destination]]</f>
        <v>Karachi-Jeddah</v>
      </c>
      <c r="F195" s="3">
        <v>45992.885416666701</v>
      </c>
      <c r="G195" s="26">
        <f>HOUR(FlightOps[[#This Row],[ScheduledDeparture]])</f>
        <v>21</v>
      </c>
      <c r="H195" s="22">
        <v>18</v>
      </c>
      <c r="I195" s="2" t="s">
        <v>35</v>
      </c>
      <c r="J195" s="2">
        <v>186</v>
      </c>
      <c r="K195" s="2">
        <v>75</v>
      </c>
      <c r="L195" s="19">
        <f>FlightOps[[#This Row],[SeatsSold]]/FlightOps[[#This Row],[SeatsAvailable]]</f>
        <v>0.40322580645161288</v>
      </c>
      <c r="M195" s="2" t="s">
        <v>17</v>
      </c>
      <c r="N195" s="4">
        <v>31082</v>
      </c>
      <c r="O195" s="24">
        <f>FlightOps[[#This Row],[SeatsSold]]*FlightOps[[#This Row],[AvgTicketPrice]]</f>
        <v>2331150</v>
      </c>
      <c r="P195" s="2" t="s">
        <v>26</v>
      </c>
    </row>
    <row r="196" spans="1:16" x14ac:dyDescent="0.25">
      <c r="A196" s="2" t="s">
        <v>226</v>
      </c>
      <c r="B196" s="2" t="s">
        <v>42</v>
      </c>
      <c r="C196" s="2" t="s">
        <v>24</v>
      </c>
      <c r="D196" s="2" t="s">
        <v>28</v>
      </c>
      <c r="E196" s="2" t="str">
        <f>FlightOps[[#This Row],[Origin]]&amp;"-"&amp;FlightOps[[#This Row],[Destination]]</f>
        <v>Lahore-London</v>
      </c>
      <c r="F196" s="3">
        <v>45913.34375</v>
      </c>
      <c r="G196" s="26">
        <f>HOUR(FlightOps[[#This Row],[ScheduledDeparture]])</f>
        <v>8</v>
      </c>
      <c r="H196" s="22">
        <v>0</v>
      </c>
      <c r="I196" s="2" t="s">
        <v>16</v>
      </c>
      <c r="J196" s="2">
        <v>180</v>
      </c>
      <c r="K196" s="2">
        <v>94</v>
      </c>
      <c r="L196" s="19">
        <f>FlightOps[[#This Row],[SeatsSold]]/FlightOps[[#This Row],[SeatsAvailable]]</f>
        <v>0.52222222222222225</v>
      </c>
      <c r="M196" s="2" t="s">
        <v>25</v>
      </c>
      <c r="N196" s="4">
        <v>105309.3</v>
      </c>
      <c r="O196" s="24">
        <f>FlightOps[[#This Row],[SeatsSold]]*FlightOps[[#This Row],[AvgTicketPrice]]</f>
        <v>9899074.2000000011</v>
      </c>
      <c r="P196" s="2" t="s">
        <v>18</v>
      </c>
    </row>
    <row r="197" spans="1:16" x14ac:dyDescent="0.25">
      <c r="A197" s="2" t="s">
        <v>227</v>
      </c>
      <c r="B197" s="2" t="s">
        <v>23</v>
      </c>
      <c r="C197" s="2" t="s">
        <v>14</v>
      </c>
      <c r="D197" s="2" t="s">
        <v>37</v>
      </c>
      <c r="E197" s="2" t="str">
        <f>FlightOps[[#This Row],[Origin]]&amp;"-"&amp;FlightOps[[#This Row],[Destination]]</f>
        <v>Karachi-Jeddah</v>
      </c>
      <c r="F197" s="3">
        <v>45856.989583333299</v>
      </c>
      <c r="G197" s="26">
        <f>HOUR(FlightOps[[#This Row],[ScheduledDeparture]])</f>
        <v>23</v>
      </c>
      <c r="H197" s="22">
        <v>0</v>
      </c>
      <c r="I197" s="2" t="s">
        <v>31</v>
      </c>
      <c r="J197" s="2">
        <v>220</v>
      </c>
      <c r="K197" s="2">
        <v>99</v>
      </c>
      <c r="L197" s="19">
        <f>FlightOps[[#This Row],[SeatsSold]]/FlightOps[[#This Row],[SeatsAvailable]]</f>
        <v>0.45</v>
      </c>
      <c r="M197" s="2" t="s">
        <v>17</v>
      </c>
      <c r="N197" s="4">
        <v>16947.689999999999</v>
      </c>
      <c r="O197" s="24">
        <f>FlightOps[[#This Row],[SeatsSold]]*FlightOps[[#This Row],[AvgTicketPrice]]</f>
        <v>1677821.3099999998</v>
      </c>
      <c r="P197" s="2" t="s">
        <v>18</v>
      </c>
    </row>
    <row r="198" spans="1:16" x14ac:dyDescent="0.25">
      <c r="A198" s="2" t="s">
        <v>228</v>
      </c>
      <c r="B198" s="2" t="s">
        <v>33</v>
      </c>
      <c r="C198" s="2" t="s">
        <v>14</v>
      </c>
      <c r="D198" s="2" t="s">
        <v>15</v>
      </c>
      <c r="E198" s="2" t="str">
        <f>FlightOps[[#This Row],[Origin]]&amp;"-"&amp;FlightOps[[#This Row],[Destination]]</f>
        <v>Karachi-Islamabad</v>
      </c>
      <c r="F198" s="3">
        <v>46159.395833333299</v>
      </c>
      <c r="G198" s="26">
        <f>HOUR(FlightOps[[#This Row],[ScheduledDeparture]])</f>
        <v>9</v>
      </c>
      <c r="H198" s="22">
        <v>40</v>
      </c>
      <c r="I198" s="2" t="s">
        <v>20</v>
      </c>
      <c r="J198" s="2">
        <v>72</v>
      </c>
      <c r="K198" s="2">
        <v>49</v>
      </c>
      <c r="L198" s="19">
        <f>FlightOps[[#This Row],[SeatsSold]]/FlightOps[[#This Row],[SeatsAvailable]]</f>
        <v>0.68055555555555558</v>
      </c>
      <c r="M198" s="2" t="s">
        <v>17</v>
      </c>
      <c r="N198" s="4">
        <v>52439.61</v>
      </c>
      <c r="O198" s="24">
        <f>FlightOps[[#This Row],[SeatsSold]]*FlightOps[[#This Row],[AvgTicketPrice]]</f>
        <v>2569540.89</v>
      </c>
      <c r="P198" s="2" t="s">
        <v>39</v>
      </c>
    </row>
    <row r="199" spans="1:16" x14ac:dyDescent="0.25">
      <c r="A199" s="2" t="s">
        <v>229</v>
      </c>
      <c r="B199" s="2" t="s">
        <v>33</v>
      </c>
      <c r="C199" s="2" t="s">
        <v>15</v>
      </c>
      <c r="D199" s="2" t="s">
        <v>37</v>
      </c>
      <c r="E199" s="2" t="str">
        <f>FlightOps[[#This Row],[Origin]]&amp;"-"&amp;FlightOps[[#This Row],[Destination]]</f>
        <v>Islamabad-Jeddah</v>
      </c>
      <c r="F199" s="3">
        <v>45863.46875</v>
      </c>
      <c r="G199" s="26">
        <f>HOUR(FlightOps[[#This Row],[ScheduledDeparture]])</f>
        <v>11</v>
      </c>
      <c r="H199" s="22">
        <v>29</v>
      </c>
      <c r="I199" s="2" t="s">
        <v>35</v>
      </c>
      <c r="J199" s="2">
        <v>186</v>
      </c>
      <c r="K199" s="2">
        <v>99</v>
      </c>
      <c r="L199" s="19">
        <f>FlightOps[[#This Row],[SeatsSold]]/FlightOps[[#This Row],[SeatsAvailable]]</f>
        <v>0.532258064516129</v>
      </c>
      <c r="M199" s="2" t="s">
        <v>17</v>
      </c>
      <c r="N199" s="4">
        <v>24201.4</v>
      </c>
      <c r="O199" s="24">
        <f>FlightOps[[#This Row],[SeatsSold]]*FlightOps[[#This Row],[AvgTicketPrice]]</f>
        <v>2395938.6</v>
      </c>
      <c r="P199" s="2" t="s">
        <v>26</v>
      </c>
    </row>
    <row r="200" spans="1:16" x14ac:dyDescent="0.25">
      <c r="A200" s="2" t="s">
        <v>230</v>
      </c>
      <c r="B200" s="2" t="s">
        <v>33</v>
      </c>
      <c r="C200" s="2" t="s">
        <v>14</v>
      </c>
      <c r="D200" s="2" t="s">
        <v>30</v>
      </c>
      <c r="E200" s="2" t="str">
        <f>FlightOps[[#This Row],[Origin]]&amp;"-"&amp;FlightOps[[#This Row],[Destination]]</f>
        <v>Karachi-Dubai</v>
      </c>
      <c r="F200" s="3">
        <v>45985.59375</v>
      </c>
      <c r="G200" s="26">
        <f>HOUR(FlightOps[[#This Row],[ScheduledDeparture]])</f>
        <v>14</v>
      </c>
      <c r="H200" s="22">
        <v>16</v>
      </c>
      <c r="I200" s="2" t="s">
        <v>16</v>
      </c>
      <c r="J200" s="2">
        <v>180</v>
      </c>
      <c r="K200" s="2">
        <v>145</v>
      </c>
      <c r="L200" s="19">
        <f>FlightOps[[#This Row],[SeatsSold]]/FlightOps[[#This Row],[SeatsAvailable]]</f>
        <v>0.80555555555555558</v>
      </c>
      <c r="M200" s="2" t="s">
        <v>25</v>
      </c>
      <c r="N200" s="4">
        <v>149876.65</v>
      </c>
      <c r="O200" s="24">
        <f>FlightOps[[#This Row],[SeatsSold]]*FlightOps[[#This Row],[AvgTicketPrice]]</f>
        <v>21732114.25</v>
      </c>
      <c r="P200" s="2" t="s">
        <v>39</v>
      </c>
    </row>
    <row r="201" spans="1:16" x14ac:dyDescent="0.25">
      <c r="A201" s="2" t="s">
        <v>231</v>
      </c>
      <c r="B201" s="2" t="s">
        <v>23</v>
      </c>
      <c r="C201" s="2" t="s">
        <v>24</v>
      </c>
      <c r="D201" s="2" t="s">
        <v>15</v>
      </c>
      <c r="E201" s="2" t="str">
        <f>FlightOps[[#This Row],[Origin]]&amp;"-"&amp;FlightOps[[#This Row],[Destination]]</f>
        <v>Lahore-Islamabad</v>
      </c>
      <c r="F201" s="3">
        <v>45882.177083333299</v>
      </c>
      <c r="G201" s="26">
        <f>HOUR(FlightOps[[#This Row],[ScheduledDeparture]])</f>
        <v>4</v>
      </c>
      <c r="H201" s="22">
        <v>0</v>
      </c>
      <c r="I201" s="2" t="s">
        <v>35</v>
      </c>
      <c r="J201" s="2">
        <v>186</v>
      </c>
      <c r="K201" s="2">
        <v>107</v>
      </c>
      <c r="L201" s="19">
        <f>FlightOps[[#This Row],[SeatsSold]]/FlightOps[[#This Row],[SeatsAvailable]]</f>
        <v>0.57526881720430112</v>
      </c>
      <c r="M201" s="2" t="s">
        <v>25</v>
      </c>
      <c r="N201" s="4">
        <v>63712.28</v>
      </c>
      <c r="O201" s="24">
        <f>FlightOps[[#This Row],[SeatsSold]]*FlightOps[[#This Row],[AvgTicketPrice]]</f>
        <v>6817213.96</v>
      </c>
      <c r="P201" s="2" t="s">
        <v>18</v>
      </c>
    </row>
    <row r="202" spans="1:16" x14ac:dyDescent="0.25">
      <c r="A202" s="2" t="s">
        <v>232</v>
      </c>
      <c r="B202" s="2" t="s">
        <v>33</v>
      </c>
      <c r="C202" s="2" t="s">
        <v>24</v>
      </c>
      <c r="D202" s="2" t="s">
        <v>30</v>
      </c>
      <c r="E202" s="2" t="str">
        <f>FlightOps[[#This Row],[Origin]]&amp;"-"&amp;FlightOps[[#This Row],[Destination]]</f>
        <v>Lahore-Dubai</v>
      </c>
      <c r="F202" s="3">
        <v>46139.666666666701</v>
      </c>
      <c r="G202" s="26">
        <f>HOUR(FlightOps[[#This Row],[ScheduledDeparture]])</f>
        <v>16</v>
      </c>
      <c r="H202" s="22">
        <v>42</v>
      </c>
      <c r="I202" s="2" t="s">
        <v>20</v>
      </c>
      <c r="J202" s="2">
        <v>72</v>
      </c>
      <c r="K202" s="2">
        <v>53</v>
      </c>
      <c r="L202" s="19">
        <f>FlightOps[[#This Row],[SeatsSold]]/FlightOps[[#This Row],[SeatsAvailable]]</f>
        <v>0.73611111111111116</v>
      </c>
      <c r="M202" s="2" t="s">
        <v>25</v>
      </c>
      <c r="N202" s="4">
        <v>105191.92</v>
      </c>
      <c r="O202" s="24">
        <f>FlightOps[[#This Row],[SeatsSold]]*FlightOps[[#This Row],[AvgTicketPrice]]</f>
        <v>5575171.7599999998</v>
      </c>
      <c r="P202" s="2" t="s">
        <v>49</v>
      </c>
    </row>
    <row r="203" spans="1:16" x14ac:dyDescent="0.25">
      <c r="A203" s="2" t="s">
        <v>233</v>
      </c>
      <c r="B203" s="2" t="s">
        <v>42</v>
      </c>
      <c r="C203" s="2" t="s">
        <v>24</v>
      </c>
      <c r="D203" s="2" t="s">
        <v>30</v>
      </c>
      <c r="E203" s="2" t="str">
        <f>FlightOps[[#This Row],[Origin]]&amp;"-"&amp;FlightOps[[#This Row],[Destination]]</f>
        <v>Lahore-Dubai</v>
      </c>
      <c r="F203" s="3">
        <v>45901.416666666701</v>
      </c>
      <c r="G203" s="26">
        <f>HOUR(FlightOps[[#This Row],[ScheduledDeparture]])</f>
        <v>10</v>
      </c>
      <c r="H203" s="22">
        <v>25</v>
      </c>
      <c r="I203" s="2" t="s">
        <v>20</v>
      </c>
      <c r="J203" s="2">
        <v>72</v>
      </c>
      <c r="K203" s="2">
        <v>25</v>
      </c>
      <c r="L203" s="19">
        <f>FlightOps[[#This Row],[SeatsSold]]/FlightOps[[#This Row],[SeatsAvailable]]</f>
        <v>0.34722222222222221</v>
      </c>
      <c r="M203" s="2" t="s">
        <v>17</v>
      </c>
      <c r="N203" s="4">
        <v>29467.1</v>
      </c>
      <c r="O203" s="24">
        <f>FlightOps[[#This Row],[SeatsSold]]*FlightOps[[#This Row],[AvgTicketPrice]]</f>
        <v>736677.5</v>
      </c>
      <c r="P203" s="2" t="s">
        <v>21</v>
      </c>
    </row>
    <row r="204" spans="1:16" x14ac:dyDescent="0.25">
      <c r="A204" s="2" t="s">
        <v>234</v>
      </c>
      <c r="B204" s="2" t="s">
        <v>33</v>
      </c>
      <c r="C204" s="2" t="s">
        <v>14</v>
      </c>
      <c r="D204" s="2" t="s">
        <v>37</v>
      </c>
      <c r="E204" s="2" t="str">
        <f>FlightOps[[#This Row],[Origin]]&amp;"-"&amp;FlightOps[[#This Row],[Destination]]</f>
        <v>Karachi-Jeddah</v>
      </c>
      <c r="F204" s="3">
        <v>45938.802083333299</v>
      </c>
      <c r="G204" s="26">
        <f>HOUR(FlightOps[[#This Row],[ScheduledDeparture]])</f>
        <v>19</v>
      </c>
      <c r="H204" s="22">
        <v>14</v>
      </c>
      <c r="I204" s="2" t="s">
        <v>31</v>
      </c>
      <c r="J204" s="2">
        <v>220</v>
      </c>
      <c r="K204" s="2">
        <v>162</v>
      </c>
      <c r="L204" s="19">
        <f>FlightOps[[#This Row],[SeatsSold]]/FlightOps[[#This Row],[SeatsAvailable]]</f>
        <v>0.73636363636363633</v>
      </c>
      <c r="M204" s="2" t="s">
        <v>25</v>
      </c>
      <c r="N204" s="4">
        <v>146835.71</v>
      </c>
      <c r="O204" s="24">
        <f>FlightOps[[#This Row],[SeatsSold]]*FlightOps[[#This Row],[AvgTicketPrice]]</f>
        <v>23787385.02</v>
      </c>
      <c r="P204" s="2" t="s">
        <v>21</v>
      </c>
    </row>
    <row r="205" spans="1:16" x14ac:dyDescent="0.25">
      <c r="A205" s="2" t="s">
        <v>235</v>
      </c>
      <c r="B205" s="2" t="s">
        <v>33</v>
      </c>
      <c r="C205" s="2" t="s">
        <v>14</v>
      </c>
      <c r="D205" s="2" t="s">
        <v>24</v>
      </c>
      <c r="E205" s="2" t="str">
        <f>FlightOps[[#This Row],[Origin]]&amp;"-"&amp;FlightOps[[#This Row],[Destination]]</f>
        <v>Karachi-Lahore</v>
      </c>
      <c r="F205" s="3">
        <v>45840.302083333299</v>
      </c>
      <c r="G205" s="26">
        <f>HOUR(FlightOps[[#This Row],[ScheduledDeparture]])</f>
        <v>7</v>
      </c>
      <c r="H205" s="22">
        <v>0</v>
      </c>
      <c r="I205" s="2" t="s">
        <v>16</v>
      </c>
      <c r="J205" s="2">
        <v>180</v>
      </c>
      <c r="K205" s="2">
        <v>83</v>
      </c>
      <c r="L205" s="19">
        <f>FlightOps[[#This Row],[SeatsSold]]/FlightOps[[#This Row],[SeatsAvailable]]</f>
        <v>0.46111111111111114</v>
      </c>
      <c r="M205" s="2" t="s">
        <v>17</v>
      </c>
      <c r="N205" s="4">
        <v>47800.94</v>
      </c>
      <c r="O205" s="24">
        <f>FlightOps[[#This Row],[SeatsSold]]*FlightOps[[#This Row],[AvgTicketPrice]]</f>
        <v>3967478.02</v>
      </c>
      <c r="P205" s="2" t="s">
        <v>18</v>
      </c>
    </row>
    <row r="206" spans="1:16" x14ac:dyDescent="0.25">
      <c r="A206" s="2" t="s">
        <v>236</v>
      </c>
      <c r="B206" s="2" t="s">
        <v>13</v>
      </c>
      <c r="C206" s="2" t="s">
        <v>14</v>
      </c>
      <c r="D206" s="2" t="s">
        <v>37</v>
      </c>
      <c r="E206" s="2" t="str">
        <f>FlightOps[[#This Row],[Origin]]&amp;"-"&amp;FlightOps[[#This Row],[Destination]]</f>
        <v>Karachi-Jeddah</v>
      </c>
      <c r="F206" s="3">
        <v>46126.78125</v>
      </c>
      <c r="G206" s="26">
        <f>HOUR(FlightOps[[#This Row],[ScheduledDeparture]])</f>
        <v>18</v>
      </c>
      <c r="H206" s="22">
        <v>30</v>
      </c>
      <c r="I206" s="2" t="s">
        <v>16</v>
      </c>
      <c r="J206" s="2">
        <v>180</v>
      </c>
      <c r="K206" s="2">
        <v>174</v>
      </c>
      <c r="L206" s="19">
        <f>FlightOps[[#This Row],[SeatsSold]]/FlightOps[[#This Row],[SeatsAvailable]]</f>
        <v>0.96666666666666667</v>
      </c>
      <c r="M206" s="2" t="s">
        <v>25</v>
      </c>
      <c r="N206" s="4">
        <v>112443.57</v>
      </c>
      <c r="O206" s="24">
        <f>FlightOps[[#This Row],[SeatsSold]]*FlightOps[[#This Row],[AvgTicketPrice]]</f>
        <v>19565181.18</v>
      </c>
      <c r="P206" s="2" t="s">
        <v>49</v>
      </c>
    </row>
    <row r="207" spans="1:16" x14ac:dyDescent="0.25">
      <c r="A207" s="2" t="s">
        <v>237</v>
      </c>
      <c r="B207" s="2" t="s">
        <v>23</v>
      </c>
      <c r="C207" s="2" t="s">
        <v>14</v>
      </c>
      <c r="D207" s="2" t="s">
        <v>15</v>
      </c>
      <c r="E207" s="2" t="str">
        <f>FlightOps[[#This Row],[Origin]]&amp;"-"&amp;FlightOps[[#This Row],[Destination]]</f>
        <v>Karachi-Islamabad</v>
      </c>
      <c r="F207" s="3">
        <v>46173.875</v>
      </c>
      <c r="G207" s="26">
        <f>HOUR(FlightOps[[#This Row],[ScheduledDeparture]])</f>
        <v>21</v>
      </c>
      <c r="H207" s="22">
        <v>11</v>
      </c>
      <c r="I207" s="2" t="s">
        <v>35</v>
      </c>
      <c r="J207" s="2">
        <v>186</v>
      </c>
      <c r="K207" s="2">
        <v>156</v>
      </c>
      <c r="L207" s="19">
        <f>FlightOps[[#This Row],[SeatsSold]]/FlightOps[[#This Row],[SeatsAvailable]]</f>
        <v>0.83870967741935487</v>
      </c>
      <c r="M207" s="2" t="s">
        <v>25</v>
      </c>
      <c r="N207" s="4">
        <v>74364.460000000006</v>
      </c>
      <c r="O207" s="24">
        <f>FlightOps[[#This Row],[SeatsSold]]*FlightOps[[#This Row],[AvgTicketPrice]]</f>
        <v>11600855.760000002</v>
      </c>
      <c r="P207" s="2" t="s">
        <v>39</v>
      </c>
    </row>
    <row r="208" spans="1:16" x14ac:dyDescent="0.25">
      <c r="A208" s="2" t="s">
        <v>238</v>
      </c>
      <c r="B208" s="2" t="s">
        <v>33</v>
      </c>
      <c r="C208" s="2" t="s">
        <v>14</v>
      </c>
      <c r="D208" s="2" t="s">
        <v>24</v>
      </c>
      <c r="E208" s="2" t="str">
        <f>FlightOps[[#This Row],[Origin]]&amp;"-"&amp;FlightOps[[#This Row],[Destination]]</f>
        <v>Karachi-Lahore</v>
      </c>
      <c r="F208" s="3">
        <v>45916.385416666701</v>
      </c>
      <c r="G208" s="26">
        <f>HOUR(FlightOps[[#This Row],[ScheduledDeparture]])</f>
        <v>9</v>
      </c>
      <c r="H208" s="22">
        <v>38</v>
      </c>
      <c r="I208" s="2" t="s">
        <v>31</v>
      </c>
      <c r="J208" s="2">
        <v>220</v>
      </c>
      <c r="K208" s="2">
        <v>187</v>
      </c>
      <c r="L208" s="19">
        <f>FlightOps[[#This Row],[SeatsSold]]/FlightOps[[#This Row],[SeatsAvailable]]</f>
        <v>0.85</v>
      </c>
      <c r="M208" s="2" t="s">
        <v>25</v>
      </c>
      <c r="N208" s="4">
        <v>78690.679999999993</v>
      </c>
      <c r="O208" s="24">
        <f>FlightOps[[#This Row],[SeatsSold]]*FlightOps[[#This Row],[AvgTicketPrice]]</f>
        <v>14715157.159999998</v>
      </c>
      <c r="P208" s="2" t="s">
        <v>26</v>
      </c>
    </row>
    <row r="209" spans="1:16" x14ac:dyDescent="0.25">
      <c r="A209" s="2" t="s">
        <v>239</v>
      </c>
      <c r="B209" s="2" t="s">
        <v>33</v>
      </c>
      <c r="C209" s="2" t="s">
        <v>14</v>
      </c>
      <c r="D209" s="2" t="s">
        <v>15</v>
      </c>
      <c r="E209" s="2" t="str">
        <f>FlightOps[[#This Row],[Origin]]&amp;"-"&amp;FlightOps[[#This Row],[Destination]]</f>
        <v>Karachi-Islamabad</v>
      </c>
      <c r="F209" s="3">
        <v>46127.697916666701</v>
      </c>
      <c r="G209" s="26">
        <f>HOUR(FlightOps[[#This Row],[ScheduledDeparture]])</f>
        <v>16</v>
      </c>
      <c r="H209" s="22">
        <v>6</v>
      </c>
      <c r="I209" s="2" t="s">
        <v>31</v>
      </c>
      <c r="J209" s="2">
        <v>220</v>
      </c>
      <c r="K209" s="2">
        <v>122</v>
      </c>
      <c r="L209" s="19">
        <f>FlightOps[[#This Row],[SeatsSold]]/FlightOps[[#This Row],[SeatsAvailable]]</f>
        <v>0.55454545454545456</v>
      </c>
      <c r="M209" s="2" t="s">
        <v>25</v>
      </c>
      <c r="N209" s="4">
        <v>91169.21</v>
      </c>
      <c r="O209" s="24">
        <f>FlightOps[[#This Row],[SeatsSold]]*FlightOps[[#This Row],[AvgTicketPrice]]</f>
        <v>11122643.620000001</v>
      </c>
      <c r="P209" s="2" t="s">
        <v>21</v>
      </c>
    </row>
    <row r="210" spans="1:16" x14ac:dyDescent="0.25">
      <c r="A210" s="2" t="s">
        <v>240</v>
      </c>
      <c r="B210" s="2" t="s">
        <v>13</v>
      </c>
      <c r="C210" s="2" t="s">
        <v>14</v>
      </c>
      <c r="D210" s="2" t="s">
        <v>37</v>
      </c>
      <c r="E210" s="2" t="str">
        <f>FlightOps[[#This Row],[Origin]]&amp;"-"&amp;FlightOps[[#This Row],[Destination]]</f>
        <v>Karachi-Jeddah</v>
      </c>
      <c r="F210" s="3">
        <v>45902.28125</v>
      </c>
      <c r="G210" s="26">
        <f>HOUR(FlightOps[[#This Row],[ScheduledDeparture]])</f>
        <v>6</v>
      </c>
      <c r="H210" s="22">
        <v>20</v>
      </c>
      <c r="I210" s="2" t="s">
        <v>31</v>
      </c>
      <c r="J210" s="2">
        <v>220</v>
      </c>
      <c r="K210" s="2">
        <v>151</v>
      </c>
      <c r="L210" s="19">
        <f>FlightOps[[#This Row],[SeatsSold]]/FlightOps[[#This Row],[SeatsAvailable]]</f>
        <v>0.6863636363636364</v>
      </c>
      <c r="M210" s="2" t="s">
        <v>17</v>
      </c>
      <c r="N210" s="4">
        <v>57831.81</v>
      </c>
      <c r="O210" s="24">
        <f>FlightOps[[#This Row],[SeatsSold]]*FlightOps[[#This Row],[AvgTicketPrice]]</f>
        <v>8732603.3100000005</v>
      </c>
      <c r="P210" s="2" t="s">
        <v>49</v>
      </c>
    </row>
    <row r="211" spans="1:16" x14ac:dyDescent="0.25">
      <c r="A211" s="2" t="s">
        <v>241</v>
      </c>
      <c r="B211" s="2" t="s">
        <v>23</v>
      </c>
      <c r="C211" s="2" t="s">
        <v>24</v>
      </c>
      <c r="D211" s="2" t="s">
        <v>30</v>
      </c>
      <c r="E211" s="2" t="str">
        <f>FlightOps[[#This Row],[Origin]]&amp;"-"&amp;FlightOps[[#This Row],[Destination]]</f>
        <v>Lahore-Dubai</v>
      </c>
      <c r="F211" s="3">
        <v>45879.5</v>
      </c>
      <c r="G211" s="26">
        <f>HOUR(FlightOps[[#This Row],[ScheduledDeparture]])</f>
        <v>12</v>
      </c>
      <c r="H211" s="22">
        <v>30</v>
      </c>
      <c r="I211" s="2" t="s">
        <v>16</v>
      </c>
      <c r="J211" s="2">
        <v>180</v>
      </c>
      <c r="K211" s="2">
        <v>88</v>
      </c>
      <c r="L211" s="19">
        <f>FlightOps[[#This Row],[SeatsSold]]/FlightOps[[#This Row],[SeatsAvailable]]</f>
        <v>0.48888888888888887</v>
      </c>
      <c r="M211" s="2" t="s">
        <v>25</v>
      </c>
      <c r="N211" s="4">
        <v>146098.26999999999</v>
      </c>
      <c r="O211" s="24">
        <f>FlightOps[[#This Row],[SeatsSold]]*FlightOps[[#This Row],[AvgTicketPrice]]</f>
        <v>12856647.76</v>
      </c>
      <c r="P211" s="2" t="s">
        <v>26</v>
      </c>
    </row>
    <row r="212" spans="1:16" x14ac:dyDescent="0.25">
      <c r="A212" s="2" t="s">
        <v>242</v>
      </c>
      <c r="B212" s="2" t="s">
        <v>13</v>
      </c>
      <c r="C212" s="2" t="s">
        <v>14</v>
      </c>
      <c r="D212" s="2" t="s">
        <v>37</v>
      </c>
      <c r="E212" s="2" t="str">
        <f>FlightOps[[#This Row],[Origin]]&amp;"-"&amp;FlightOps[[#This Row],[Destination]]</f>
        <v>Karachi-Jeddah</v>
      </c>
      <c r="F212" s="3">
        <v>45968.739583333299</v>
      </c>
      <c r="G212" s="26">
        <f>HOUR(FlightOps[[#This Row],[ScheduledDeparture]])</f>
        <v>17</v>
      </c>
      <c r="H212" s="22">
        <v>0</v>
      </c>
      <c r="I212" s="2" t="s">
        <v>35</v>
      </c>
      <c r="J212" s="2">
        <v>186</v>
      </c>
      <c r="K212" s="2">
        <v>124</v>
      </c>
      <c r="L212" s="19">
        <f>FlightOps[[#This Row],[SeatsSold]]/FlightOps[[#This Row],[SeatsAvailable]]</f>
        <v>0.66666666666666663</v>
      </c>
      <c r="M212" s="2" t="s">
        <v>25</v>
      </c>
      <c r="N212" s="4">
        <v>66169.23</v>
      </c>
      <c r="O212" s="24">
        <f>FlightOps[[#This Row],[SeatsSold]]*FlightOps[[#This Row],[AvgTicketPrice]]</f>
        <v>8204984.5199999996</v>
      </c>
      <c r="P212" s="2" t="s">
        <v>18</v>
      </c>
    </row>
    <row r="213" spans="1:16" x14ac:dyDescent="0.25">
      <c r="A213" s="2" t="s">
        <v>243</v>
      </c>
      <c r="B213" s="2" t="s">
        <v>13</v>
      </c>
      <c r="C213" s="2" t="s">
        <v>24</v>
      </c>
      <c r="D213" s="2" t="s">
        <v>15</v>
      </c>
      <c r="E213" s="2" t="str">
        <f>FlightOps[[#This Row],[Origin]]&amp;"-"&amp;FlightOps[[#This Row],[Destination]]</f>
        <v>Lahore-Islamabad</v>
      </c>
      <c r="F213" s="3">
        <v>45995.510416666701</v>
      </c>
      <c r="G213" s="26">
        <f>HOUR(FlightOps[[#This Row],[ScheduledDeparture]])</f>
        <v>12</v>
      </c>
      <c r="H213" s="22">
        <v>9</v>
      </c>
      <c r="I213" s="2" t="s">
        <v>31</v>
      </c>
      <c r="J213" s="2">
        <v>220</v>
      </c>
      <c r="K213" s="2">
        <v>163</v>
      </c>
      <c r="L213" s="19">
        <f>FlightOps[[#This Row],[SeatsSold]]/FlightOps[[#This Row],[SeatsAvailable]]</f>
        <v>0.74090909090909096</v>
      </c>
      <c r="M213" s="2" t="s">
        <v>17</v>
      </c>
      <c r="N213" s="4">
        <v>23345.919999999998</v>
      </c>
      <c r="O213" s="24">
        <f>FlightOps[[#This Row],[SeatsSold]]*FlightOps[[#This Row],[AvgTicketPrice]]</f>
        <v>3805384.9599999995</v>
      </c>
      <c r="P213" s="2" t="s">
        <v>49</v>
      </c>
    </row>
    <row r="214" spans="1:16" x14ac:dyDescent="0.25">
      <c r="A214" s="2" t="s">
        <v>244</v>
      </c>
      <c r="B214" s="2" t="s">
        <v>23</v>
      </c>
      <c r="C214" s="2" t="s">
        <v>14</v>
      </c>
      <c r="D214" s="2" t="s">
        <v>24</v>
      </c>
      <c r="E214" s="2" t="str">
        <f>FlightOps[[#This Row],[Origin]]&amp;"-"&amp;FlightOps[[#This Row],[Destination]]</f>
        <v>Karachi-Lahore</v>
      </c>
      <c r="F214" s="3">
        <v>46058.427083333299</v>
      </c>
      <c r="G214" s="26">
        <f>HOUR(FlightOps[[#This Row],[ScheduledDeparture]])</f>
        <v>10</v>
      </c>
      <c r="H214" s="22">
        <v>36</v>
      </c>
      <c r="I214" s="2" t="s">
        <v>16</v>
      </c>
      <c r="J214" s="2">
        <v>180</v>
      </c>
      <c r="K214" s="2">
        <v>78</v>
      </c>
      <c r="L214" s="19">
        <f>FlightOps[[#This Row],[SeatsSold]]/FlightOps[[#This Row],[SeatsAvailable]]</f>
        <v>0.43333333333333335</v>
      </c>
      <c r="M214" s="2" t="s">
        <v>17</v>
      </c>
      <c r="N214" s="4">
        <v>24447.29</v>
      </c>
      <c r="O214" s="24">
        <f>FlightOps[[#This Row],[SeatsSold]]*FlightOps[[#This Row],[AvgTicketPrice]]</f>
        <v>1906888.62</v>
      </c>
      <c r="P214" s="2" t="s">
        <v>49</v>
      </c>
    </row>
    <row r="215" spans="1:16" x14ac:dyDescent="0.25">
      <c r="A215" s="2" t="s">
        <v>245</v>
      </c>
      <c r="B215" s="2" t="s">
        <v>42</v>
      </c>
      <c r="C215" s="2" t="s">
        <v>24</v>
      </c>
      <c r="D215" s="2" t="s">
        <v>15</v>
      </c>
      <c r="E215" s="2" t="str">
        <f>FlightOps[[#This Row],[Origin]]&amp;"-"&amp;FlightOps[[#This Row],[Destination]]</f>
        <v>Lahore-Islamabad</v>
      </c>
      <c r="F215" s="3">
        <v>45885.666666666701</v>
      </c>
      <c r="G215" s="26">
        <f>HOUR(FlightOps[[#This Row],[ScheduledDeparture]])</f>
        <v>16</v>
      </c>
      <c r="H215" s="22">
        <v>17</v>
      </c>
      <c r="I215" s="2" t="s">
        <v>16</v>
      </c>
      <c r="J215" s="2">
        <v>180</v>
      </c>
      <c r="K215" s="2">
        <v>118</v>
      </c>
      <c r="L215" s="19">
        <f>FlightOps[[#This Row],[SeatsSold]]/FlightOps[[#This Row],[SeatsAvailable]]</f>
        <v>0.65555555555555556</v>
      </c>
      <c r="M215" s="2" t="s">
        <v>25</v>
      </c>
      <c r="N215" s="4">
        <v>64243.48</v>
      </c>
      <c r="O215" s="24">
        <f>FlightOps[[#This Row],[SeatsSold]]*FlightOps[[#This Row],[AvgTicketPrice]]</f>
        <v>7580730.6400000006</v>
      </c>
      <c r="P215" s="2" t="s">
        <v>26</v>
      </c>
    </row>
    <row r="216" spans="1:16" x14ac:dyDescent="0.25">
      <c r="A216" s="2" t="s">
        <v>246</v>
      </c>
      <c r="B216" s="2" t="s">
        <v>33</v>
      </c>
      <c r="C216" s="2" t="s">
        <v>24</v>
      </c>
      <c r="D216" s="2" t="s">
        <v>15</v>
      </c>
      <c r="E216" s="2" t="str">
        <f>FlightOps[[#This Row],[Origin]]&amp;"-"&amp;FlightOps[[#This Row],[Destination]]</f>
        <v>Lahore-Islamabad</v>
      </c>
      <c r="F216" s="3">
        <v>46030.166666666701</v>
      </c>
      <c r="G216" s="26">
        <f>HOUR(FlightOps[[#This Row],[ScheduledDeparture]])</f>
        <v>4</v>
      </c>
      <c r="H216" s="22">
        <v>2</v>
      </c>
      <c r="I216" s="2" t="s">
        <v>16</v>
      </c>
      <c r="J216" s="2">
        <v>180</v>
      </c>
      <c r="K216" s="2">
        <v>131</v>
      </c>
      <c r="L216" s="19">
        <f>FlightOps[[#This Row],[SeatsSold]]/FlightOps[[#This Row],[SeatsAvailable]]</f>
        <v>0.72777777777777775</v>
      </c>
      <c r="M216" s="2" t="s">
        <v>17</v>
      </c>
      <c r="N216" s="4">
        <v>41652.730000000003</v>
      </c>
      <c r="O216" s="24">
        <f>FlightOps[[#This Row],[SeatsSold]]*FlightOps[[#This Row],[AvgTicketPrice]]</f>
        <v>5456507.6300000008</v>
      </c>
      <c r="P216" s="2" t="s">
        <v>49</v>
      </c>
    </row>
    <row r="217" spans="1:16" x14ac:dyDescent="0.25">
      <c r="A217" s="2" t="s">
        <v>247</v>
      </c>
      <c r="B217" s="2" t="s">
        <v>13</v>
      </c>
      <c r="C217" s="2" t="s">
        <v>14</v>
      </c>
      <c r="D217" s="2" t="s">
        <v>15</v>
      </c>
      <c r="E217" s="2" t="str">
        <f>FlightOps[[#This Row],[Origin]]&amp;"-"&amp;FlightOps[[#This Row],[Destination]]</f>
        <v>Karachi-Islamabad</v>
      </c>
      <c r="F217" s="3">
        <v>46168.239583333299</v>
      </c>
      <c r="G217" s="26">
        <f>HOUR(FlightOps[[#This Row],[ScheduledDeparture]])</f>
        <v>5</v>
      </c>
      <c r="H217" s="22">
        <v>27</v>
      </c>
      <c r="I217" s="2" t="s">
        <v>35</v>
      </c>
      <c r="J217" s="2">
        <v>186</v>
      </c>
      <c r="K217" s="2">
        <v>174</v>
      </c>
      <c r="L217" s="19">
        <f>FlightOps[[#This Row],[SeatsSold]]/FlightOps[[#This Row],[SeatsAvailable]]</f>
        <v>0.93548387096774188</v>
      </c>
      <c r="M217" s="2" t="s">
        <v>17</v>
      </c>
      <c r="N217" s="4">
        <v>24739.83</v>
      </c>
      <c r="O217" s="24">
        <f>FlightOps[[#This Row],[SeatsSold]]*FlightOps[[#This Row],[AvgTicketPrice]]</f>
        <v>4304730.42</v>
      </c>
      <c r="P217" s="2" t="s">
        <v>49</v>
      </c>
    </row>
    <row r="218" spans="1:16" x14ac:dyDescent="0.25">
      <c r="A218" s="2" t="s">
        <v>248</v>
      </c>
      <c r="B218" s="2" t="s">
        <v>42</v>
      </c>
      <c r="C218" s="2" t="s">
        <v>14</v>
      </c>
      <c r="D218" s="2" t="s">
        <v>15</v>
      </c>
      <c r="E218" s="2" t="str">
        <f>FlightOps[[#This Row],[Origin]]&amp;"-"&amp;FlightOps[[#This Row],[Destination]]</f>
        <v>Karachi-Islamabad</v>
      </c>
      <c r="F218" s="3">
        <v>45872.1875</v>
      </c>
      <c r="G218" s="26">
        <f>HOUR(FlightOps[[#This Row],[ScheduledDeparture]])</f>
        <v>4</v>
      </c>
      <c r="H218" s="22">
        <v>24</v>
      </c>
      <c r="I218" s="2" t="s">
        <v>31</v>
      </c>
      <c r="J218" s="2">
        <v>220</v>
      </c>
      <c r="K218" s="2">
        <v>204</v>
      </c>
      <c r="L218" s="19">
        <f>FlightOps[[#This Row],[SeatsSold]]/FlightOps[[#This Row],[SeatsAvailable]]</f>
        <v>0.92727272727272725</v>
      </c>
      <c r="M218" s="2" t="s">
        <v>17</v>
      </c>
      <c r="N218" s="4">
        <v>25491.759999999998</v>
      </c>
      <c r="O218" s="24">
        <f>FlightOps[[#This Row],[SeatsSold]]*FlightOps[[#This Row],[AvgTicketPrice]]</f>
        <v>5200319.04</v>
      </c>
      <c r="P218" s="2" t="s">
        <v>49</v>
      </c>
    </row>
    <row r="219" spans="1:16" x14ac:dyDescent="0.25">
      <c r="A219" s="2" t="s">
        <v>249</v>
      </c>
      <c r="B219" s="2" t="s">
        <v>13</v>
      </c>
      <c r="C219" s="2" t="s">
        <v>24</v>
      </c>
      <c r="D219" s="2" t="s">
        <v>28</v>
      </c>
      <c r="E219" s="2" t="str">
        <f>FlightOps[[#This Row],[Origin]]&amp;"-"&amp;FlightOps[[#This Row],[Destination]]</f>
        <v>Lahore-London</v>
      </c>
      <c r="F219" s="3">
        <v>45959.40625</v>
      </c>
      <c r="G219" s="26">
        <f>HOUR(FlightOps[[#This Row],[ScheduledDeparture]])</f>
        <v>9</v>
      </c>
      <c r="H219" s="22">
        <v>1</v>
      </c>
      <c r="I219" s="2" t="s">
        <v>16</v>
      </c>
      <c r="J219" s="2">
        <v>180</v>
      </c>
      <c r="K219" s="2">
        <v>66</v>
      </c>
      <c r="L219" s="19">
        <f>FlightOps[[#This Row],[SeatsSold]]/FlightOps[[#This Row],[SeatsAvailable]]</f>
        <v>0.36666666666666664</v>
      </c>
      <c r="M219" s="2" t="s">
        <v>17</v>
      </c>
      <c r="N219" s="4">
        <v>43296.97</v>
      </c>
      <c r="O219" s="24">
        <f>FlightOps[[#This Row],[SeatsSold]]*FlightOps[[#This Row],[AvgTicketPrice]]</f>
        <v>2857600.02</v>
      </c>
      <c r="P219" s="2" t="s">
        <v>21</v>
      </c>
    </row>
    <row r="220" spans="1:16" x14ac:dyDescent="0.25">
      <c r="A220" s="2" t="s">
        <v>250</v>
      </c>
      <c r="B220" s="2" t="s">
        <v>13</v>
      </c>
      <c r="C220" s="2" t="s">
        <v>24</v>
      </c>
      <c r="D220" s="2" t="s">
        <v>30</v>
      </c>
      <c r="E220" s="2" t="str">
        <f>FlightOps[[#This Row],[Origin]]&amp;"-"&amp;FlightOps[[#This Row],[Destination]]</f>
        <v>Lahore-Dubai</v>
      </c>
      <c r="F220" s="3">
        <v>45999.208333333299</v>
      </c>
      <c r="G220" s="26">
        <f>HOUR(FlightOps[[#This Row],[ScheduledDeparture]])</f>
        <v>5</v>
      </c>
      <c r="H220" s="22">
        <v>33</v>
      </c>
      <c r="I220" s="2" t="s">
        <v>31</v>
      </c>
      <c r="J220" s="2">
        <v>220</v>
      </c>
      <c r="K220" s="2">
        <v>116</v>
      </c>
      <c r="L220" s="19">
        <f>FlightOps[[#This Row],[SeatsSold]]/FlightOps[[#This Row],[SeatsAvailable]]</f>
        <v>0.52727272727272723</v>
      </c>
      <c r="M220" s="2" t="s">
        <v>17</v>
      </c>
      <c r="N220" s="4">
        <v>54284.72</v>
      </c>
      <c r="O220" s="24">
        <f>FlightOps[[#This Row],[SeatsSold]]*FlightOps[[#This Row],[AvgTicketPrice]]</f>
        <v>6297027.5200000005</v>
      </c>
      <c r="P220" s="2" t="s">
        <v>21</v>
      </c>
    </row>
    <row r="221" spans="1:16" x14ac:dyDescent="0.25">
      <c r="A221" s="2" t="s">
        <v>251</v>
      </c>
      <c r="B221" s="2" t="s">
        <v>33</v>
      </c>
      <c r="C221" s="2" t="s">
        <v>14</v>
      </c>
      <c r="D221" s="2" t="s">
        <v>15</v>
      </c>
      <c r="E221" s="2" t="str">
        <f>FlightOps[[#This Row],[Origin]]&amp;"-"&amp;FlightOps[[#This Row],[Destination]]</f>
        <v>Karachi-Islamabad</v>
      </c>
      <c r="F221" s="3">
        <v>45935.395833333299</v>
      </c>
      <c r="G221" s="26">
        <f>HOUR(FlightOps[[#This Row],[ScheduledDeparture]])</f>
        <v>9</v>
      </c>
      <c r="H221" s="22">
        <v>16</v>
      </c>
      <c r="I221" s="2" t="s">
        <v>20</v>
      </c>
      <c r="J221" s="2">
        <v>72</v>
      </c>
      <c r="K221" s="2">
        <v>51</v>
      </c>
      <c r="L221" s="19">
        <f>FlightOps[[#This Row],[SeatsSold]]/FlightOps[[#This Row],[SeatsAvailable]]</f>
        <v>0.70833333333333337</v>
      </c>
      <c r="M221" s="2" t="s">
        <v>17</v>
      </c>
      <c r="N221" s="4">
        <v>40853.870000000003</v>
      </c>
      <c r="O221" s="24">
        <f>FlightOps[[#This Row],[SeatsSold]]*FlightOps[[#This Row],[AvgTicketPrice]]</f>
        <v>2083547.37</v>
      </c>
      <c r="P221" s="2" t="s">
        <v>49</v>
      </c>
    </row>
    <row r="222" spans="1:16" x14ac:dyDescent="0.25">
      <c r="A222" s="2" t="s">
        <v>252</v>
      </c>
      <c r="B222" s="2" t="s">
        <v>23</v>
      </c>
      <c r="C222" s="2" t="s">
        <v>14</v>
      </c>
      <c r="D222" s="2" t="s">
        <v>15</v>
      </c>
      <c r="E222" s="2" t="str">
        <f>FlightOps[[#This Row],[Origin]]&amp;"-"&amp;FlightOps[[#This Row],[Destination]]</f>
        <v>Karachi-Islamabad</v>
      </c>
      <c r="F222" s="3">
        <v>45996.166666666701</v>
      </c>
      <c r="G222" s="26">
        <f>HOUR(FlightOps[[#This Row],[ScheduledDeparture]])</f>
        <v>4</v>
      </c>
      <c r="H222" s="22">
        <v>0</v>
      </c>
      <c r="I222" s="2" t="s">
        <v>16</v>
      </c>
      <c r="J222" s="2">
        <v>180</v>
      </c>
      <c r="K222" s="2">
        <v>113</v>
      </c>
      <c r="L222" s="19">
        <f>FlightOps[[#This Row],[SeatsSold]]/FlightOps[[#This Row],[SeatsAvailable]]</f>
        <v>0.62777777777777777</v>
      </c>
      <c r="M222" s="2" t="s">
        <v>17</v>
      </c>
      <c r="N222" s="4">
        <v>51526.559999999998</v>
      </c>
      <c r="O222" s="24">
        <f>FlightOps[[#This Row],[SeatsSold]]*FlightOps[[#This Row],[AvgTicketPrice]]</f>
        <v>5822501.2799999993</v>
      </c>
      <c r="P222" s="2" t="s">
        <v>18</v>
      </c>
    </row>
    <row r="223" spans="1:16" x14ac:dyDescent="0.25">
      <c r="A223" s="2" t="s">
        <v>253</v>
      </c>
      <c r="B223" s="2" t="s">
        <v>42</v>
      </c>
      <c r="C223" s="2" t="s">
        <v>14</v>
      </c>
      <c r="D223" s="2" t="s">
        <v>24</v>
      </c>
      <c r="E223" s="2" t="str">
        <f>FlightOps[[#This Row],[Origin]]&amp;"-"&amp;FlightOps[[#This Row],[Destination]]</f>
        <v>Karachi-Lahore</v>
      </c>
      <c r="F223" s="3">
        <v>45944.9375</v>
      </c>
      <c r="G223" s="26">
        <f>HOUR(FlightOps[[#This Row],[ScheduledDeparture]])</f>
        <v>22</v>
      </c>
      <c r="H223" s="22">
        <v>0</v>
      </c>
      <c r="I223" s="2" t="s">
        <v>35</v>
      </c>
      <c r="J223" s="2">
        <v>186</v>
      </c>
      <c r="K223" s="2">
        <v>155</v>
      </c>
      <c r="L223" s="19">
        <f>FlightOps[[#This Row],[SeatsSold]]/FlightOps[[#This Row],[SeatsAvailable]]</f>
        <v>0.83333333333333337</v>
      </c>
      <c r="M223" s="2" t="s">
        <v>17</v>
      </c>
      <c r="N223" s="4">
        <v>40078.120000000003</v>
      </c>
      <c r="O223" s="24">
        <f>FlightOps[[#This Row],[SeatsSold]]*FlightOps[[#This Row],[AvgTicketPrice]]</f>
        <v>6212108.6000000006</v>
      </c>
      <c r="P223" s="2" t="s">
        <v>18</v>
      </c>
    </row>
    <row r="224" spans="1:16" x14ac:dyDescent="0.25">
      <c r="A224" s="2" t="s">
        <v>254</v>
      </c>
      <c r="B224" s="2" t="s">
        <v>42</v>
      </c>
      <c r="C224" s="2" t="s">
        <v>14</v>
      </c>
      <c r="D224" s="2" t="s">
        <v>30</v>
      </c>
      <c r="E224" s="2" t="str">
        <f>FlightOps[[#This Row],[Origin]]&amp;"-"&amp;FlightOps[[#This Row],[Destination]]</f>
        <v>Karachi-Dubai</v>
      </c>
      <c r="F224" s="3">
        <v>46110.1875</v>
      </c>
      <c r="G224" s="26">
        <f>HOUR(FlightOps[[#This Row],[ScheduledDeparture]])</f>
        <v>4</v>
      </c>
      <c r="H224" s="22">
        <v>34</v>
      </c>
      <c r="I224" s="2" t="s">
        <v>16</v>
      </c>
      <c r="J224" s="2">
        <v>180</v>
      </c>
      <c r="K224" s="2">
        <v>98</v>
      </c>
      <c r="L224" s="19">
        <f>FlightOps[[#This Row],[SeatsSold]]/FlightOps[[#This Row],[SeatsAvailable]]</f>
        <v>0.5444444444444444</v>
      </c>
      <c r="M224" s="2" t="s">
        <v>17</v>
      </c>
      <c r="N224" s="4">
        <v>43372.41</v>
      </c>
      <c r="O224" s="24">
        <f>FlightOps[[#This Row],[SeatsSold]]*FlightOps[[#This Row],[AvgTicketPrice]]</f>
        <v>4250496.1800000006</v>
      </c>
      <c r="P224" s="2" t="s">
        <v>26</v>
      </c>
    </row>
    <row r="225" spans="1:16" x14ac:dyDescent="0.25">
      <c r="A225" s="2" t="s">
        <v>255</v>
      </c>
      <c r="B225" s="2" t="s">
        <v>23</v>
      </c>
      <c r="C225" s="2" t="s">
        <v>15</v>
      </c>
      <c r="D225" s="2" t="s">
        <v>37</v>
      </c>
      <c r="E225" s="2" t="str">
        <f>FlightOps[[#This Row],[Origin]]&amp;"-"&amp;FlightOps[[#This Row],[Destination]]</f>
        <v>Islamabad-Jeddah</v>
      </c>
      <c r="F225" s="3">
        <v>45931.65625</v>
      </c>
      <c r="G225" s="26">
        <f>HOUR(FlightOps[[#This Row],[ScheduledDeparture]])</f>
        <v>15</v>
      </c>
      <c r="H225" s="22">
        <v>8</v>
      </c>
      <c r="I225" s="2" t="s">
        <v>35</v>
      </c>
      <c r="J225" s="2">
        <v>186</v>
      </c>
      <c r="K225" s="2">
        <v>163</v>
      </c>
      <c r="L225" s="19">
        <f>FlightOps[[#This Row],[SeatsSold]]/FlightOps[[#This Row],[SeatsAvailable]]</f>
        <v>0.87634408602150538</v>
      </c>
      <c r="M225" s="2" t="s">
        <v>17</v>
      </c>
      <c r="N225" s="4">
        <v>44622.22</v>
      </c>
      <c r="O225" s="24">
        <f>FlightOps[[#This Row],[SeatsSold]]*FlightOps[[#This Row],[AvgTicketPrice]]</f>
        <v>7273421.8600000003</v>
      </c>
      <c r="P225" s="2" t="s">
        <v>21</v>
      </c>
    </row>
    <row r="226" spans="1:16" x14ac:dyDescent="0.25">
      <c r="A226" s="2" t="s">
        <v>256</v>
      </c>
      <c r="B226" s="2" t="s">
        <v>42</v>
      </c>
      <c r="C226" s="2" t="s">
        <v>14</v>
      </c>
      <c r="D226" s="2" t="s">
        <v>24</v>
      </c>
      <c r="E226" s="2" t="str">
        <f>FlightOps[[#This Row],[Origin]]&amp;"-"&amp;FlightOps[[#This Row],[Destination]]</f>
        <v>Karachi-Lahore</v>
      </c>
      <c r="F226" s="3">
        <v>46025.65625</v>
      </c>
      <c r="G226" s="26">
        <f>HOUR(FlightOps[[#This Row],[ScheduledDeparture]])</f>
        <v>15</v>
      </c>
      <c r="H226" s="22">
        <v>10</v>
      </c>
      <c r="I226" s="2" t="s">
        <v>35</v>
      </c>
      <c r="J226" s="2">
        <v>186</v>
      </c>
      <c r="K226" s="2">
        <v>69</v>
      </c>
      <c r="L226" s="19">
        <f>FlightOps[[#This Row],[SeatsSold]]/FlightOps[[#This Row],[SeatsAvailable]]</f>
        <v>0.37096774193548387</v>
      </c>
      <c r="M226" s="2" t="s">
        <v>25</v>
      </c>
      <c r="N226" s="4">
        <v>57750.62</v>
      </c>
      <c r="O226" s="24">
        <f>FlightOps[[#This Row],[SeatsSold]]*FlightOps[[#This Row],[AvgTicketPrice]]</f>
        <v>3984792.7800000003</v>
      </c>
      <c r="P226" s="2" t="s">
        <v>49</v>
      </c>
    </row>
    <row r="227" spans="1:16" x14ac:dyDescent="0.25">
      <c r="A227" s="2" t="s">
        <v>257</v>
      </c>
      <c r="B227" s="2" t="s">
        <v>42</v>
      </c>
      <c r="C227" s="2" t="s">
        <v>14</v>
      </c>
      <c r="D227" s="2" t="s">
        <v>24</v>
      </c>
      <c r="E227" s="2" t="str">
        <f>FlightOps[[#This Row],[Origin]]&amp;"-"&amp;FlightOps[[#This Row],[Destination]]</f>
        <v>Karachi-Lahore</v>
      </c>
      <c r="F227" s="3">
        <v>45999.875</v>
      </c>
      <c r="G227" s="26">
        <f>HOUR(FlightOps[[#This Row],[ScheduledDeparture]])</f>
        <v>21</v>
      </c>
      <c r="H227" s="22">
        <v>0</v>
      </c>
      <c r="I227" s="2" t="s">
        <v>31</v>
      </c>
      <c r="J227" s="2">
        <v>220</v>
      </c>
      <c r="K227" s="2">
        <v>114</v>
      </c>
      <c r="L227" s="19">
        <f>FlightOps[[#This Row],[SeatsSold]]/FlightOps[[#This Row],[SeatsAvailable]]</f>
        <v>0.51818181818181819</v>
      </c>
      <c r="M227" s="2" t="s">
        <v>17</v>
      </c>
      <c r="N227" s="4">
        <v>22903.9</v>
      </c>
      <c r="O227" s="24">
        <f>FlightOps[[#This Row],[SeatsSold]]*FlightOps[[#This Row],[AvgTicketPrice]]</f>
        <v>2611044.6</v>
      </c>
      <c r="P227" s="2" t="s">
        <v>18</v>
      </c>
    </row>
    <row r="228" spans="1:16" x14ac:dyDescent="0.25">
      <c r="A228" s="2" t="s">
        <v>258</v>
      </c>
      <c r="B228" s="2" t="s">
        <v>23</v>
      </c>
      <c r="C228" s="2" t="s">
        <v>14</v>
      </c>
      <c r="D228" s="2" t="s">
        <v>15</v>
      </c>
      <c r="E228" s="2" t="str">
        <f>FlightOps[[#This Row],[Origin]]&amp;"-"&amp;FlightOps[[#This Row],[Destination]]</f>
        <v>Karachi-Islamabad</v>
      </c>
      <c r="F228" s="3">
        <v>46163.4375</v>
      </c>
      <c r="G228" s="26">
        <f>HOUR(FlightOps[[#This Row],[ScheduledDeparture]])</f>
        <v>10</v>
      </c>
      <c r="H228" s="22">
        <v>52</v>
      </c>
      <c r="I228" s="2" t="s">
        <v>16</v>
      </c>
      <c r="J228" s="2">
        <v>180</v>
      </c>
      <c r="K228" s="2">
        <v>179</v>
      </c>
      <c r="L228" s="19">
        <f>FlightOps[[#This Row],[SeatsSold]]/FlightOps[[#This Row],[SeatsAvailable]]</f>
        <v>0.99444444444444446</v>
      </c>
      <c r="M228" s="2" t="s">
        <v>25</v>
      </c>
      <c r="N228" s="4">
        <v>119892.97</v>
      </c>
      <c r="O228" s="24">
        <f>FlightOps[[#This Row],[SeatsSold]]*FlightOps[[#This Row],[AvgTicketPrice]]</f>
        <v>21460841.629999999</v>
      </c>
      <c r="P228" s="2" t="s">
        <v>39</v>
      </c>
    </row>
    <row r="229" spans="1:16" x14ac:dyDescent="0.25">
      <c r="A229" s="2" t="s">
        <v>259</v>
      </c>
      <c r="B229" s="2" t="s">
        <v>42</v>
      </c>
      <c r="C229" s="2" t="s">
        <v>14</v>
      </c>
      <c r="D229" s="2" t="s">
        <v>24</v>
      </c>
      <c r="E229" s="2" t="str">
        <f>FlightOps[[#This Row],[Origin]]&amp;"-"&amp;FlightOps[[#This Row],[Destination]]</f>
        <v>Karachi-Lahore</v>
      </c>
      <c r="F229" s="3">
        <v>45877.520833333299</v>
      </c>
      <c r="G229" s="26">
        <f>HOUR(FlightOps[[#This Row],[ScheduledDeparture]])</f>
        <v>12</v>
      </c>
      <c r="H229" s="22">
        <v>33</v>
      </c>
      <c r="I229" s="2" t="s">
        <v>20</v>
      </c>
      <c r="J229" s="2">
        <v>72</v>
      </c>
      <c r="K229" s="2">
        <v>44</v>
      </c>
      <c r="L229" s="19">
        <f>FlightOps[[#This Row],[SeatsSold]]/FlightOps[[#This Row],[SeatsAvailable]]</f>
        <v>0.61111111111111116</v>
      </c>
      <c r="M229" s="2" t="s">
        <v>17</v>
      </c>
      <c r="N229" s="4">
        <v>55272.06</v>
      </c>
      <c r="O229" s="24">
        <f>FlightOps[[#This Row],[SeatsSold]]*FlightOps[[#This Row],[AvgTicketPrice]]</f>
        <v>2431970.6399999997</v>
      </c>
      <c r="P229" s="2" t="s">
        <v>26</v>
      </c>
    </row>
    <row r="230" spans="1:16" x14ac:dyDescent="0.25">
      <c r="A230" s="2" t="s">
        <v>260</v>
      </c>
      <c r="B230" s="2" t="s">
        <v>13</v>
      </c>
      <c r="C230" s="2" t="s">
        <v>24</v>
      </c>
      <c r="D230" s="2" t="s">
        <v>28</v>
      </c>
      <c r="E230" s="2" t="str">
        <f>FlightOps[[#This Row],[Origin]]&amp;"-"&amp;FlightOps[[#This Row],[Destination]]</f>
        <v>Lahore-London</v>
      </c>
      <c r="F230" s="3">
        <v>46158.40625</v>
      </c>
      <c r="G230" s="26">
        <f>HOUR(FlightOps[[#This Row],[ScheduledDeparture]])</f>
        <v>9</v>
      </c>
      <c r="H230" s="22">
        <v>0</v>
      </c>
      <c r="I230" s="2" t="s">
        <v>31</v>
      </c>
      <c r="J230" s="2">
        <v>220</v>
      </c>
      <c r="K230" s="2">
        <v>162</v>
      </c>
      <c r="L230" s="19">
        <f>FlightOps[[#This Row],[SeatsSold]]/FlightOps[[#This Row],[SeatsAvailable]]</f>
        <v>0.73636363636363633</v>
      </c>
      <c r="M230" s="2" t="s">
        <v>25</v>
      </c>
      <c r="N230" s="4">
        <v>95408.83</v>
      </c>
      <c r="O230" s="24">
        <f>FlightOps[[#This Row],[SeatsSold]]*FlightOps[[#This Row],[AvgTicketPrice]]</f>
        <v>15456230.460000001</v>
      </c>
      <c r="P230" s="2" t="s">
        <v>18</v>
      </c>
    </row>
    <row r="231" spans="1:16" x14ac:dyDescent="0.25">
      <c r="A231" s="2" t="s">
        <v>261</v>
      </c>
      <c r="B231" s="2" t="s">
        <v>42</v>
      </c>
      <c r="C231" s="2" t="s">
        <v>14</v>
      </c>
      <c r="D231" s="2" t="s">
        <v>30</v>
      </c>
      <c r="E231" s="2" t="str">
        <f>FlightOps[[#This Row],[Origin]]&amp;"-"&amp;FlightOps[[#This Row],[Destination]]</f>
        <v>Karachi-Dubai</v>
      </c>
      <c r="F231" s="3">
        <v>46089.78125</v>
      </c>
      <c r="G231" s="26">
        <f>HOUR(FlightOps[[#This Row],[ScheduledDeparture]])</f>
        <v>18</v>
      </c>
      <c r="H231" s="22">
        <v>27</v>
      </c>
      <c r="I231" s="2" t="s">
        <v>16</v>
      </c>
      <c r="J231" s="2">
        <v>180</v>
      </c>
      <c r="K231" s="2">
        <v>156</v>
      </c>
      <c r="L231" s="19">
        <f>FlightOps[[#This Row],[SeatsSold]]/FlightOps[[#This Row],[SeatsAvailable]]</f>
        <v>0.8666666666666667</v>
      </c>
      <c r="M231" s="2" t="s">
        <v>17</v>
      </c>
      <c r="N231" s="4">
        <v>38701.51</v>
      </c>
      <c r="O231" s="24">
        <f>FlightOps[[#This Row],[SeatsSold]]*FlightOps[[#This Row],[AvgTicketPrice]]</f>
        <v>6037435.5600000005</v>
      </c>
      <c r="P231" s="2" t="s">
        <v>26</v>
      </c>
    </row>
    <row r="232" spans="1:16" x14ac:dyDescent="0.25">
      <c r="A232" s="2" t="s">
        <v>262</v>
      </c>
      <c r="B232" s="2" t="s">
        <v>23</v>
      </c>
      <c r="C232" s="2" t="s">
        <v>14</v>
      </c>
      <c r="D232" s="2" t="s">
        <v>24</v>
      </c>
      <c r="E232" s="2" t="str">
        <f>FlightOps[[#This Row],[Origin]]&amp;"-"&amp;FlightOps[[#This Row],[Destination]]</f>
        <v>Karachi-Lahore</v>
      </c>
      <c r="F232" s="3">
        <v>46130.239583333299</v>
      </c>
      <c r="G232" s="26">
        <f>HOUR(FlightOps[[#This Row],[ScheduledDeparture]])</f>
        <v>5</v>
      </c>
      <c r="H232" s="22">
        <v>15</v>
      </c>
      <c r="I232" s="2" t="s">
        <v>16</v>
      </c>
      <c r="J232" s="2">
        <v>180</v>
      </c>
      <c r="K232" s="2">
        <v>65</v>
      </c>
      <c r="L232" s="19">
        <f>FlightOps[[#This Row],[SeatsSold]]/FlightOps[[#This Row],[SeatsAvailable]]</f>
        <v>0.3611111111111111</v>
      </c>
      <c r="M232" s="2" t="s">
        <v>25</v>
      </c>
      <c r="N232" s="4">
        <v>134508.82999999999</v>
      </c>
      <c r="O232" s="24">
        <f>FlightOps[[#This Row],[SeatsSold]]*FlightOps[[#This Row],[AvgTicketPrice]]</f>
        <v>8743073.9499999993</v>
      </c>
      <c r="P232" s="2" t="s">
        <v>39</v>
      </c>
    </row>
    <row r="233" spans="1:16" x14ac:dyDescent="0.25">
      <c r="A233" s="2" t="s">
        <v>263</v>
      </c>
      <c r="B233" s="2" t="s">
        <v>23</v>
      </c>
      <c r="C233" s="2" t="s">
        <v>14</v>
      </c>
      <c r="D233" s="2" t="s">
        <v>24</v>
      </c>
      <c r="E233" s="2" t="str">
        <f>FlightOps[[#This Row],[Origin]]&amp;"-"&amp;FlightOps[[#This Row],[Destination]]</f>
        <v>Karachi-Lahore</v>
      </c>
      <c r="F233" s="3">
        <v>45946.625</v>
      </c>
      <c r="G233" s="26">
        <f>HOUR(FlightOps[[#This Row],[ScheduledDeparture]])</f>
        <v>15</v>
      </c>
      <c r="H233" s="22">
        <v>8</v>
      </c>
      <c r="I233" s="2" t="s">
        <v>35</v>
      </c>
      <c r="J233" s="2">
        <v>186</v>
      </c>
      <c r="K233" s="2">
        <v>164</v>
      </c>
      <c r="L233" s="19">
        <f>FlightOps[[#This Row],[SeatsSold]]/FlightOps[[#This Row],[SeatsAvailable]]</f>
        <v>0.88172043010752688</v>
      </c>
      <c r="M233" s="2" t="s">
        <v>17</v>
      </c>
      <c r="N233" s="4">
        <v>43010.07</v>
      </c>
      <c r="O233" s="24">
        <f>FlightOps[[#This Row],[SeatsSold]]*FlightOps[[#This Row],[AvgTicketPrice]]</f>
        <v>7053651.4799999995</v>
      </c>
      <c r="P233" s="2" t="s">
        <v>26</v>
      </c>
    </row>
    <row r="234" spans="1:16" x14ac:dyDescent="0.25">
      <c r="A234" s="2" t="s">
        <v>264</v>
      </c>
      <c r="B234" s="2" t="s">
        <v>42</v>
      </c>
      <c r="C234" s="2" t="s">
        <v>14</v>
      </c>
      <c r="D234" s="2" t="s">
        <v>24</v>
      </c>
      <c r="E234" s="2" t="str">
        <f>FlightOps[[#This Row],[Origin]]&amp;"-"&amp;FlightOps[[#This Row],[Destination]]</f>
        <v>Karachi-Lahore</v>
      </c>
      <c r="F234" s="3">
        <v>45849.208333333299</v>
      </c>
      <c r="G234" s="26">
        <f>HOUR(FlightOps[[#This Row],[ScheduledDeparture]])</f>
        <v>5</v>
      </c>
      <c r="H234" s="22">
        <v>0</v>
      </c>
      <c r="I234" s="2" t="s">
        <v>16</v>
      </c>
      <c r="J234" s="2">
        <v>180</v>
      </c>
      <c r="K234" s="2">
        <v>141</v>
      </c>
      <c r="L234" s="19">
        <f>FlightOps[[#This Row],[SeatsSold]]/FlightOps[[#This Row],[SeatsAvailable]]</f>
        <v>0.78333333333333333</v>
      </c>
      <c r="M234" s="2" t="s">
        <v>17</v>
      </c>
      <c r="N234" s="4">
        <v>50127.71</v>
      </c>
      <c r="O234" s="24">
        <f>FlightOps[[#This Row],[SeatsSold]]*FlightOps[[#This Row],[AvgTicketPrice]]</f>
        <v>7068007.1100000003</v>
      </c>
      <c r="P234" s="2" t="s">
        <v>18</v>
      </c>
    </row>
    <row r="235" spans="1:16" x14ac:dyDescent="0.25">
      <c r="A235" s="2" t="s">
        <v>265</v>
      </c>
      <c r="B235" s="2" t="s">
        <v>23</v>
      </c>
      <c r="C235" s="2" t="s">
        <v>14</v>
      </c>
      <c r="D235" s="2" t="s">
        <v>15</v>
      </c>
      <c r="E235" s="2" t="str">
        <f>FlightOps[[#This Row],[Origin]]&amp;"-"&amp;FlightOps[[#This Row],[Destination]]</f>
        <v>Karachi-Islamabad</v>
      </c>
      <c r="F235" s="3">
        <v>45929.90625</v>
      </c>
      <c r="G235" s="26">
        <f>HOUR(FlightOps[[#This Row],[ScheduledDeparture]])</f>
        <v>21</v>
      </c>
      <c r="H235" s="22">
        <v>16</v>
      </c>
      <c r="I235" s="2" t="s">
        <v>31</v>
      </c>
      <c r="J235" s="2">
        <v>220</v>
      </c>
      <c r="K235" s="2">
        <v>220</v>
      </c>
      <c r="L235" s="19">
        <f>FlightOps[[#This Row],[SeatsSold]]/FlightOps[[#This Row],[SeatsAvailable]]</f>
        <v>1</v>
      </c>
      <c r="M235" s="2" t="s">
        <v>25</v>
      </c>
      <c r="N235" s="4">
        <v>119162.11</v>
      </c>
      <c r="O235" s="24">
        <f>FlightOps[[#This Row],[SeatsSold]]*FlightOps[[#This Row],[AvgTicketPrice]]</f>
        <v>26215664.199999999</v>
      </c>
      <c r="P235" s="2" t="s">
        <v>26</v>
      </c>
    </row>
    <row r="236" spans="1:16" x14ac:dyDescent="0.25">
      <c r="A236" s="2" t="s">
        <v>266</v>
      </c>
      <c r="B236" s="2" t="s">
        <v>33</v>
      </c>
      <c r="C236" s="2" t="s">
        <v>24</v>
      </c>
      <c r="D236" s="2" t="s">
        <v>28</v>
      </c>
      <c r="E236" s="2" t="str">
        <f>FlightOps[[#This Row],[Origin]]&amp;"-"&amp;FlightOps[[#This Row],[Destination]]</f>
        <v>Lahore-London</v>
      </c>
      <c r="F236" s="3">
        <v>46132.447916666701</v>
      </c>
      <c r="G236" s="26">
        <f>HOUR(FlightOps[[#This Row],[ScheduledDeparture]])</f>
        <v>10</v>
      </c>
      <c r="H236" s="22">
        <v>0</v>
      </c>
      <c r="I236" s="2" t="s">
        <v>20</v>
      </c>
      <c r="J236" s="2">
        <v>72</v>
      </c>
      <c r="K236" s="2">
        <v>72</v>
      </c>
      <c r="L236" s="19">
        <f>FlightOps[[#This Row],[SeatsSold]]/FlightOps[[#This Row],[SeatsAvailable]]</f>
        <v>1</v>
      </c>
      <c r="M236" s="2" t="s">
        <v>25</v>
      </c>
      <c r="N236" s="4">
        <v>94546.05</v>
      </c>
      <c r="O236" s="24">
        <f>FlightOps[[#This Row],[SeatsSold]]*FlightOps[[#This Row],[AvgTicketPrice]]</f>
        <v>6807315.6000000006</v>
      </c>
      <c r="P236" s="2" t="s">
        <v>18</v>
      </c>
    </row>
    <row r="237" spans="1:16" x14ac:dyDescent="0.25">
      <c r="A237" s="2" t="s">
        <v>267</v>
      </c>
      <c r="B237" s="2" t="s">
        <v>33</v>
      </c>
      <c r="C237" s="2" t="s">
        <v>14</v>
      </c>
      <c r="D237" s="2" t="s">
        <v>37</v>
      </c>
      <c r="E237" s="2" t="str">
        <f>FlightOps[[#This Row],[Origin]]&amp;"-"&amp;FlightOps[[#This Row],[Destination]]</f>
        <v>Karachi-Jeddah</v>
      </c>
      <c r="F237" s="3">
        <v>45968.53125</v>
      </c>
      <c r="G237" s="26">
        <f>HOUR(FlightOps[[#This Row],[ScheduledDeparture]])</f>
        <v>12</v>
      </c>
      <c r="H237" s="22">
        <v>38</v>
      </c>
      <c r="I237" s="2" t="s">
        <v>20</v>
      </c>
      <c r="J237" s="2">
        <v>72</v>
      </c>
      <c r="K237" s="2">
        <v>72</v>
      </c>
      <c r="L237" s="19">
        <f>FlightOps[[#This Row],[SeatsSold]]/FlightOps[[#This Row],[SeatsAvailable]]</f>
        <v>1</v>
      </c>
      <c r="M237" s="2" t="s">
        <v>25</v>
      </c>
      <c r="N237" s="4">
        <v>118088.35</v>
      </c>
      <c r="O237" s="24">
        <f>FlightOps[[#This Row],[SeatsSold]]*FlightOps[[#This Row],[AvgTicketPrice]]</f>
        <v>8502361.2000000011</v>
      </c>
      <c r="P237" s="2" t="s">
        <v>49</v>
      </c>
    </row>
    <row r="238" spans="1:16" x14ac:dyDescent="0.25">
      <c r="A238" s="2" t="s">
        <v>268</v>
      </c>
      <c r="B238" s="2" t="s">
        <v>13</v>
      </c>
      <c r="C238" s="2" t="s">
        <v>24</v>
      </c>
      <c r="D238" s="2" t="s">
        <v>28</v>
      </c>
      <c r="E238" s="2" t="str">
        <f>FlightOps[[#This Row],[Origin]]&amp;"-"&amp;FlightOps[[#This Row],[Destination]]</f>
        <v>Lahore-London</v>
      </c>
      <c r="F238" s="3">
        <v>46041.416666666701</v>
      </c>
      <c r="G238" s="26">
        <f>HOUR(FlightOps[[#This Row],[ScheduledDeparture]])</f>
        <v>10</v>
      </c>
      <c r="H238" s="22">
        <v>0</v>
      </c>
      <c r="I238" s="2" t="s">
        <v>35</v>
      </c>
      <c r="J238" s="2">
        <v>186</v>
      </c>
      <c r="K238" s="2">
        <v>95</v>
      </c>
      <c r="L238" s="19">
        <f>FlightOps[[#This Row],[SeatsSold]]/FlightOps[[#This Row],[SeatsAvailable]]</f>
        <v>0.510752688172043</v>
      </c>
      <c r="M238" s="2" t="s">
        <v>17</v>
      </c>
      <c r="N238" s="4">
        <v>9115.77</v>
      </c>
      <c r="O238" s="24">
        <f>FlightOps[[#This Row],[SeatsSold]]*FlightOps[[#This Row],[AvgTicketPrice]]</f>
        <v>865998.15</v>
      </c>
      <c r="P238" s="2" t="s">
        <v>18</v>
      </c>
    </row>
    <row r="239" spans="1:16" x14ac:dyDescent="0.25">
      <c r="A239" s="2" t="s">
        <v>269</v>
      </c>
      <c r="B239" s="2" t="s">
        <v>13</v>
      </c>
      <c r="C239" s="2" t="s">
        <v>14</v>
      </c>
      <c r="D239" s="2" t="s">
        <v>15</v>
      </c>
      <c r="E239" s="2" t="str">
        <f>FlightOps[[#This Row],[Origin]]&amp;"-"&amp;FlightOps[[#This Row],[Destination]]</f>
        <v>Karachi-Islamabad</v>
      </c>
      <c r="F239" s="3">
        <v>46042.864583333299</v>
      </c>
      <c r="G239" s="26">
        <f>HOUR(FlightOps[[#This Row],[ScheduledDeparture]])</f>
        <v>20</v>
      </c>
      <c r="H239" s="22">
        <v>0</v>
      </c>
      <c r="I239" s="2" t="s">
        <v>35</v>
      </c>
      <c r="J239" s="2">
        <v>186</v>
      </c>
      <c r="K239" s="2">
        <v>112</v>
      </c>
      <c r="L239" s="19">
        <f>FlightOps[[#This Row],[SeatsSold]]/FlightOps[[#This Row],[SeatsAvailable]]</f>
        <v>0.60215053763440862</v>
      </c>
      <c r="M239" s="2" t="s">
        <v>17</v>
      </c>
      <c r="N239" s="4">
        <v>48086.58</v>
      </c>
      <c r="O239" s="24">
        <f>FlightOps[[#This Row],[SeatsSold]]*FlightOps[[#This Row],[AvgTicketPrice]]</f>
        <v>5385696.96</v>
      </c>
      <c r="P239" s="2" t="s">
        <v>18</v>
      </c>
    </row>
    <row r="240" spans="1:16" x14ac:dyDescent="0.25">
      <c r="A240" s="2" t="s">
        <v>270</v>
      </c>
      <c r="B240" s="2" t="s">
        <v>23</v>
      </c>
      <c r="C240" s="2" t="s">
        <v>14</v>
      </c>
      <c r="D240" s="2" t="s">
        <v>15</v>
      </c>
      <c r="E240" s="2" t="str">
        <f>FlightOps[[#This Row],[Origin]]&amp;"-"&amp;FlightOps[[#This Row],[Destination]]</f>
        <v>Karachi-Islamabad</v>
      </c>
      <c r="F240" s="3">
        <v>45992.802083333299</v>
      </c>
      <c r="G240" s="26">
        <f>HOUR(FlightOps[[#This Row],[ScheduledDeparture]])</f>
        <v>19</v>
      </c>
      <c r="H240" s="22">
        <v>37</v>
      </c>
      <c r="I240" s="2" t="s">
        <v>16</v>
      </c>
      <c r="J240" s="2">
        <v>180</v>
      </c>
      <c r="K240" s="2">
        <v>104</v>
      </c>
      <c r="L240" s="19">
        <f>FlightOps[[#This Row],[SeatsSold]]/FlightOps[[#This Row],[SeatsAvailable]]</f>
        <v>0.57777777777777772</v>
      </c>
      <c r="M240" s="2" t="s">
        <v>25</v>
      </c>
      <c r="N240" s="4">
        <v>69122.570000000007</v>
      </c>
      <c r="O240" s="24">
        <f>FlightOps[[#This Row],[SeatsSold]]*FlightOps[[#This Row],[AvgTicketPrice]]</f>
        <v>7188747.2800000012</v>
      </c>
      <c r="P240" s="2" t="s">
        <v>49</v>
      </c>
    </row>
    <row r="241" spans="1:16" x14ac:dyDescent="0.25">
      <c r="A241" s="2" t="s">
        <v>271</v>
      </c>
      <c r="B241" s="2" t="s">
        <v>33</v>
      </c>
      <c r="C241" s="2" t="s">
        <v>14</v>
      </c>
      <c r="D241" s="2" t="s">
        <v>30</v>
      </c>
      <c r="E241" s="2" t="str">
        <f>FlightOps[[#This Row],[Origin]]&amp;"-"&amp;FlightOps[[#This Row],[Destination]]</f>
        <v>Karachi-Dubai</v>
      </c>
      <c r="F241" s="3">
        <v>45977.677083333299</v>
      </c>
      <c r="G241" s="26">
        <f>HOUR(FlightOps[[#This Row],[ScheduledDeparture]])</f>
        <v>16</v>
      </c>
      <c r="H241" s="22">
        <v>7</v>
      </c>
      <c r="I241" s="2" t="s">
        <v>35</v>
      </c>
      <c r="J241" s="2">
        <v>186</v>
      </c>
      <c r="K241" s="2">
        <v>92</v>
      </c>
      <c r="L241" s="19">
        <f>FlightOps[[#This Row],[SeatsSold]]/FlightOps[[#This Row],[SeatsAvailable]]</f>
        <v>0.4946236559139785</v>
      </c>
      <c r="M241" s="2" t="s">
        <v>17</v>
      </c>
      <c r="N241" s="4">
        <v>43108.24</v>
      </c>
      <c r="O241" s="24">
        <f>FlightOps[[#This Row],[SeatsSold]]*FlightOps[[#This Row],[AvgTicketPrice]]</f>
        <v>3965958.0799999996</v>
      </c>
      <c r="P241" s="2" t="s">
        <v>39</v>
      </c>
    </row>
    <row r="242" spans="1:16" x14ac:dyDescent="0.25">
      <c r="A242" s="2" t="s">
        <v>272</v>
      </c>
      <c r="B242" s="2" t="s">
        <v>33</v>
      </c>
      <c r="C242" s="2" t="s">
        <v>24</v>
      </c>
      <c r="D242" s="2" t="s">
        <v>30</v>
      </c>
      <c r="E242" s="2" t="str">
        <f>FlightOps[[#This Row],[Origin]]&amp;"-"&amp;FlightOps[[#This Row],[Destination]]</f>
        <v>Lahore-Dubai</v>
      </c>
      <c r="F242" s="3">
        <v>45877.822916666701</v>
      </c>
      <c r="G242" s="26">
        <f>HOUR(FlightOps[[#This Row],[ScheduledDeparture]])</f>
        <v>19</v>
      </c>
      <c r="H242" s="22">
        <v>46</v>
      </c>
      <c r="I242" s="2" t="s">
        <v>31</v>
      </c>
      <c r="J242" s="2">
        <v>220</v>
      </c>
      <c r="K242" s="2">
        <v>147</v>
      </c>
      <c r="L242" s="19">
        <f>FlightOps[[#This Row],[SeatsSold]]/FlightOps[[#This Row],[SeatsAvailable]]</f>
        <v>0.66818181818181821</v>
      </c>
      <c r="M242" s="2" t="s">
        <v>17</v>
      </c>
      <c r="N242" s="4">
        <v>28648.22</v>
      </c>
      <c r="O242" s="24">
        <f>FlightOps[[#This Row],[SeatsSold]]*FlightOps[[#This Row],[AvgTicketPrice]]</f>
        <v>4211288.34</v>
      </c>
      <c r="P242" s="2" t="s">
        <v>39</v>
      </c>
    </row>
    <row r="243" spans="1:16" x14ac:dyDescent="0.25">
      <c r="A243" s="2" t="s">
        <v>273</v>
      </c>
      <c r="B243" s="2" t="s">
        <v>23</v>
      </c>
      <c r="C243" s="2" t="s">
        <v>24</v>
      </c>
      <c r="D243" s="2" t="s">
        <v>15</v>
      </c>
      <c r="E243" s="2" t="str">
        <f>FlightOps[[#This Row],[Origin]]&amp;"-"&amp;FlightOps[[#This Row],[Destination]]</f>
        <v>Lahore-Islamabad</v>
      </c>
      <c r="F243" s="3">
        <v>45975.489583333299</v>
      </c>
      <c r="G243" s="26">
        <f>HOUR(FlightOps[[#This Row],[ScheduledDeparture]])</f>
        <v>11</v>
      </c>
      <c r="H243" s="22">
        <v>20</v>
      </c>
      <c r="I243" s="2" t="s">
        <v>16</v>
      </c>
      <c r="J243" s="2">
        <v>180</v>
      </c>
      <c r="K243" s="2">
        <v>71</v>
      </c>
      <c r="L243" s="19">
        <f>FlightOps[[#This Row],[SeatsSold]]/FlightOps[[#This Row],[SeatsAvailable]]</f>
        <v>0.39444444444444443</v>
      </c>
      <c r="M243" s="2" t="s">
        <v>17</v>
      </c>
      <c r="N243" s="4">
        <v>11928.85</v>
      </c>
      <c r="O243" s="24">
        <f>FlightOps[[#This Row],[SeatsSold]]*FlightOps[[#This Row],[AvgTicketPrice]]</f>
        <v>846948.35</v>
      </c>
      <c r="P243" s="2" t="s">
        <v>26</v>
      </c>
    </row>
    <row r="244" spans="1:16" x14ac:dyDescent="0.25">
      <c r="A244" s="2" t="s">
        <v>274</v>
      </c>
      <c r="B244" s="2" t="s">
        <v>42</v>
      </c>
      <c r="C244" s="2" t="s">
        <v>14</v>
      </c>
      <c r="D244" s="2" t="s">
        <v>15</v>
      </c>
      <c r="E244" s="2" t="str">
        <f>FlightOps[[#This Row],[Origin]]&amp;"-"&amp;FlightOps[[#This Row],[Destination]]</f>
        <v>Karachi-Islamabad</v>
      </c>
      <c r="F244" s="3">
        <v>46068.541666666701</v>
      </c>
      <c r="G244" s="26">
        <f>HOUR(FlightOps[[#This Row],[ScheduledDeparture]])</f>
        <v>13</v>
      </c>
      <c r="H244" s="22">
        <v>30</v>
      </c>
      <c r="I244" s="2" t="s">
        <v>16</v>
      </c>
      <c r="J244" s="2">
        <v>180</v>
      </c>
      <c r="K244" s="2">
        <v>176</v>
      </c>
      <c r="L244" s="19">
        <f>FlightOps[[#This Row],[SeatsSold]]/FlightOps[[#This Row],[SeatsAvailable]]</f>
        <v>0.97777777777777775</v>
      </c>
      <c r="M244" s="2" t="s">
        <v>17</v>
      </c>
      <c r="N244" s="4">
        <v>38534.86</v>
      </c>
      <c r="O244" s="24">
        <f>FlightOps[[#This Row],[SeatsSold]]*FlightOps[[#This Row],[AvgTicketPrice]]</f>
        <v>6782135.3600000003</v>
      </c>
      <c r="P244" s="2" t="s">
        <v>21</v>
      </c>
    </row>
    <row r="245" spans="1:16" x14ac:dyDescent="0.25">
      <c r="A245" s="2" t="s">
        <v>275</v>
      </c>
      <c r="B245" s="2" t="s">
        <v>42</v>
      </c>
      <c r="C245" s="2" t="s">
        <v>14</v>
      </c>
      <c r="D245" s="2" t="s">
        <v>30</v>
      </c>
      <c r="E245" s="2" t="str">
        <f>FlightOps[[#This Row],[Origin]]&amp;"-"&amp;FlightOps[[#This Row],[Destination]]</f>
        <v>Karachi-Dubai</v>
      </c>
      <c r="F245" s="3">
        <v>45933.229166666701</v>
      </c>
      <c r="G245" s="26">
        <f>HOUR(FlightOps[[#This Row],[ScheduledDeparture]])</f>
        <v>5</v>
      </c>
      <c r="H245" s="22">
        <v>5</v>
      </c>
      <c r="I245" s="2" t="s">
        <v>20</v>
      </c>
      <c r="J245" s="2">
        <v>72</v>
      </c>
      <c r="K245" s="2">
        <v>41</v>
      </c>
      <c r="L245" s="19">
        <f>FlightOps[[#This Row],[SeatsSold]]/FlightOps[[#This Row],[SeatsAvailable]]</f>
        <v>0.56944444444444442</v>
      </c>
      <c r="M245" s="2" t="s">
        <v>25</v>
      </c>
      <c r="N245" s="4">
        <v>105220.33</v>
      </c>
      <c r="O245" s="24">
        <f>FlightOps[[#This Row],[SeatsSold]]*FlightOps[[#This Row],[AvgTicketPrice]]</f>
        <v>4314033.53</v>
      </c>
      <c r="P245" s="2" t="s">
        <v>39</v>
      </c>
    </row>
    <row r="246" spans="1:16" x14ac:dyDescent="0.25">
      <c r="A246" s="2" t="s">
        <v>276</v>
      </c>
      <c r="B246" s="2" t="s">
        <v>23</v>
      </c>
      <c r="C246" s="2" t="s">
        <v>14</v>
      </c>
      <c r="D246" s="2" t="s">
        <v>15</v>
      </c>
      <c r="E246" s="2" t="str">
        <f>FlightOps[[#This Row],[Origin]]&amp;"-"&amp;FlightOps[[#This Row],[Destination]]</f>
        <v>Karachi-Islamabad</v>
      </c>
      <c r="F246" s="3">
        <v>45873.96875</v>
      </c>
      <c r="G246" s="26">
        <f>HOUR(FlightOps[[#This Row],[ScheduledDeparture]])</f>
        <v>23</v>
      </c>
      <c r="H246" s="22">
        <v>0</v>
      </c>
      <c r="I246" s="2" t="s">
        <v>16</v>
      </c>
      <c r="J246" s="2">
        <v>180</v>
      </c>
      <c r="K246" s="2">
        <v>122</v>
      </c>
      <c r="L246" s="19">
        <f>FlightOps[[#This Row],[SeatsSold]]/FlightOps[[#This Row],[SeatsAvailable]]</f>
        <v>0.67777777777777781</v>
      </c>
      <c r="M246" s="2" t="s">
        <v>25</v>
      </c>
      <c r="N246" s="4">
        <v>111497.64</v>
      </c>
      <c r="O246" s="24">
        <f>FlightOps[[#This Row],[SeatsSold]]*FlightOps[[#This Row],[AvgTicketPrice]]</f>
        <v>13602712.08</v>
      </c>
      <c r="P246" s="2" t="s">
        <v>18</v>
      </c>
    </row>
    <row r="247" spans="1:16" x14ac:dyDescent="0.25">
      <c r="A247" s="2" t="s">
        <v>277</v>
      </c>
      <c r="B247" s="2" t="s">
        <v>13</v>
      </c>
      <c r="C247" s="2" t="s">
        <v>15</v>
      </c>
      <c r="D247" s="2" t="s">
        <v>37</v>
      </c>
      <c r="E247" s="2" t="str">
        <f>FlightOps[[#This Row],[Origin]]&amp;"-"&amp;FlightOps[[#This Row],[Destination]]</f>
        <v>Islamabad-Jeddah</v>
      </c>
      <c r="F247" s="3">
        <v>45986.4375</v>
      </c>
      <c r="G247" s="26">
        <f>HOUR(FlightOps[[#This Row],[ScheduledDeparture]])</f>
        <v>10</v>
      </c>
      <c r="H247" s="22">
        <v>17</v>
      </c>
      <c r="I247" s="2" t="s">
        <v>20</v>
      </c>
      <c r="J247" s="2">
        <v>72</v>
      </c>
      <c r="K247" s="2">
        <v>65</v>
      </c>
      <c r="L247" s="19">
        <f>FlightOps[[#This Row],[SeatsSold]]/FlightOps[[#This Row],[SeatsAvailable]]</f>
        <v>0.90277777777777779</v>
      </c>
      <c r="M247" s="2" t="s">
        <v>17</v>
      </c>
      <c r="N247" s="4">
        <v>47576.66</v>
      </c>
      <c r="O247" s="24">
        <f>FlightOps[[#This Row],[SeatsSold]]*FlightOps[[#This Row],[AvgTicketPrice]]</f>
        <v>3092482.9000000004</v>
      </c>
      <c r="P247" s="2" t="s">
        <v>49</v>
      </c>
    </row>
    <row r="248" spans="1:16" x14ac:dyDescent="0.25">
      <c r="A248" s="2" t="s">
        <v>278</v>
      </c>
      <c r="B248" s="2" t="s">
        <v>23</v>
      </c>
      <c r="C248" s="2" t="s">
        <v>14</v>
      </c>
      <c r="D248" s="2" t="s">
        <v>15</v>
      </c>
      <c r="E248" s="2" t="str">
        <f>FlightOps[[#This Row],[Origin]]&amp;"-"&amp;FlightOps[[#This Row],[Destination]]</f>
        <v>Karachi-Islamabad</v>
      </c>
      <c r="F248" s="3">
        <v>45937.864583333299</v>
      </c>
      <c r="G248" s="26">
        <f>HOUR(FlightOps[[#This Row],[ScheduledDeparture]])</f>
        <v>20</v>
      </c>
      <c r="H248" s="22">
        <v>0</v>
      </c>
      <c r="I248" s="2" t="s">
        <v>16</v>
      </c>
      <c r="J248" s="2">
        <v>180</v>
      </c>
      <c r="K248" s="2">
        <v>79</v>
      </c>
      <c r="L248" s="19">
        <f>FlightOps[[#This Row],[SeatsSold]]/FlightOps[[#This Row],[SeatsAvailable]]</f>
        <v>0.43888888888888888</v>
      </c>
      <c r="M248" s="2" t="s">
        <v>17</v>
      </c>
      <c r="N248" s="4">
        <v>13398.96</v>
      </c>
      <c r="O248" s="24">
        <f>FlightOps[[#This Row],[SeatsSold]]*FlightOps[[#This Row],[AvgTicketPrice]]</f>
        <v>1058517.8399999999</v>
      </c>
      <c r="P248" s="2" t="s">
        <v>18</v>
      </c>
    </row>
    <row r="249" spans="1:16" x14ac:dyDescent="0.25">
      <c r="A249" s="2" t="s">
        <v>279</v>
      </c>
      <c r="B249" s="2" t="s">
        <v>23</v>
      </c>
      <c r="C249" s="2" t="s">
        <v>15</v>
      </c>
      <c r="D249" s="2" t="s">
        <v>37</v>
      </c>
      <c r="E249" s="2" t="str">
        <f>FlightOps[[#This Row],[Origin]]&amp;"-"&amp;FlightOps[[#This Row],[Destination]]</f>
        <v>Islamabad-Jeddah</v>
      </c>
      <c r="F249" s="3">
        <v>46069.96875</v>
      </c>
      <c r="G249" s="26">
        <f>HOUR(FlightOps[[#This Row],[ScheduledDeparture]])</f>
        <v>23</v>
      </c>
      <c r="H249" s="22">
        <v>40</v>
      </c>
      <c r="I249" s="2" t="s">
        <v>35</v>
      </c>
      <c r="J249" s="2">
        <v>186</v>
      </c>
      <c r="K249" s="2">
        <v>117</v>
      </c>
      <c r="L249" s="19">
        <f>FlightOps[[#This Row],[SeatsSold]]/FlightOps[[#This Row],[SeatsAvailable]]</f>
        <v>0.62903225806451613</v>
      </c>
      <c r="M249" s="2" t="s">
        <v>17</v>
      </c>
      <c r="N249" s="4">
        <v>24542.84</v>
      </c>
      <c r="O249" s="24">
        <f>FlightOps[[#This Row],[SeatsSold]]*FlightOps[[#This Row],[AvgTicketPrice]]</f>
        <v>2871512.28</v>
      </c>
      <c r="P249" s="2" t="s">
        <v>39</v>
      </c>
    </row>
    <row r="250" spans="1:16" x14ac:dyDescent="0.25">
      <c r="A250" s="2" t="s">
        <v>280</v>
      </c>
      <c r="B250" s="2" t="s">
        <v>23</v>
      </c>
      <c r="C250" s="2" t="s">
        <v>14</v>
      </c>
      <c r="D250" s="2" t="s">
        <v>30</v>
      </c>
      <c r="E250" s="2" t="str">
        <f>FlightOps[[#This Row],[Origin]]&amp;"-"&amp;FlightOps[[#This Row],[Destination]]</f>
        <v>Karachi-Dubai</v>
      </c>
      <c r="F250" s="3">
        <v>45947.354166666701</v>
      </c>
      <c r="G250" s="26">
        <f>HOUR(FlightOps[[#This Row],[ScheduledDeparture]])</f>
        <v>8</v>
      </c>
      <c r="H250" s="22">
        <v>40</v>
      </c>
      <c r="I250" s="2" t="s">
        <v>16</v>
      </c>
      <c r="J250" s="2">
        <v>180</v>
      </c>
      <c r="K250" s="2">
        <v>62</v>
      </c>
      <c r="L250" s="19">
        <f>FlightOps[[#This Row],[SeatsSold]]/FlightOps[[#This Row],[SeatsAvailable]]</f>
        <v>0.34444444444444444</v>
      </c>
      <c r="M250" s="2" t="s">
        <v>25</v>
      </c>
      <c r="N250" s="4">
        <v>63069.38</v>
      </c>
      <c r="O250" s="24">
        <f>FlightOps[[#This Row],[SeatsSold]]*FlightOps[[#This Row],[AvgTicketPrice]]</f>
        <v>3910301.56</v>
      </c>
      <c r="P250" s="2" t="s">
        <v>26</v>
      </c>
    </row>
    <row r="251" spans="1:16" x14ac:dyDescent="0.25">
      <c r="A251" s="2" t="s">
        <v>281</v>
      </c>
      <c r="B251" s="2" t="s">
        <v>33</v>
      </c>
      <c r="C251" s="2" t="s">
        <v>14</v>
      </c>
      <c r="D251" s="2" t="s">
        <v>37</v>
      </c>
      <c r="E251" s="2" t="str">
        <f>FlightOps[[#This Row],[Origin]]&amp;"-"&amp;FlightOps[[#This Row],[Destination]]</f>
        <v>Karachi-Jeddah</v>
      </c>
      <c r="F251" s="3">
        <v>45932.90625</v>
      </c>
      <c r="G251" s="26">
        <f>HOUR(FlightOps[[#This Row],[ScheduledDeparture]])</f>
        <v>21</v>
      </c>
      <c r="H251" s="22">
        <v>20</v>
      </c>
      <c r="I251" s="2" t="s">
        <v>31</v>
      </c>
      <c r="J251" s="2">
        <v>220</v>
      </c>
      <c r="K251" s="2">
        <v>108</v>
      </c>
      <c r="L251" s="19">
        <f>FlightOps[[#This Row],[SeatsSold]]/FlightOps[[#This Row],[SeatsAvailable]]</f>
        <v>0.49090909090909091</v>
      </c>
      <c r="M251" s="2" t="s">
        <v>17</v>
      </c>
      <c r="N251" s="4">
        <v>11756.12</v>
      </c>
      <c r="O251" s="24">
        <f>FlightOps[[#This Row],[SeatsSold]]*FlightOps[[#This Row],[AvgTicketPrice]]</f>
        <v>1269660.9600000002</v>
      </c>
      <c r="P251" s="2" t="s">
        <v>49</v>
      </c>
    </row>
    <row r="252" spans="1:16" x14ac:dyDescent="0.25">
      <c r="A252" s="2" t="s">
        <v>282</v>
      </c>
      <c r="B252" s="2" t="s">
        <v>23</v>
      </c>
      <c r="C252" s="2" t="s">
        <v>14</v>
      </c>
      <c r="D252" s="2" t="s">
        <v>30</v>
      </c>
      <c r="E252" s="2" t="str">
        <f>FlightOps[[#This Row],[Origin]]&amp;"-"&amp;FlightOps[[#This Row],[Destination]]</f>
        <v>Karachi-Dubai</v>
      </c>
      <c r="F252" s="3">
        <v>46045.46875</v>
      </c>
      <c r="G252" s="26">
        <f>HOUR(FlightOps[[#This Row],[ScheduledDeparture]])</f>
        <v>11</v>
      </c>
      <c r="H252" s="22">
        <v>5</v>
      </c>
      <c r="I252" s="2" t="s">
        <v>31</v>
      </c>
      <c r="J252" s="2">
        <v>220</v>
      </c>
      <c r="K252" s="2">
        <v>100</v>
      </c>
      <c r="L252" s="19">
        <f>FlightOps[[#This Row],[SeatsSold]]/FlightOps[[#This Row],[SeatsAvailable]]</f>
        <v>0.45454545454545453</v>
      </c>
      <c r="M252" s="2" t="s">
        <v>17</v>
      </c>
      <c r="N252" s="4">
        <v>9702.65</v>
      </c>
      <c r="O252" s="24">
        <f>FlightOps[[#This Row],[SeatsSold]]*FlightOps[[#This Row],[AvgTicketPrice]]</f>
        <v>970265</v>
      </c>
      <c r="P252" s="2" t="s">
        <v>49</v>
      </c>
    </row>
    <row r="253" spans="1:16" x14ac:dyDescent="0.25">
      <c r="A253" s="2" t="s">
        <v>283</v>
      </c>
      <c r="B253" s="2" t="s">
        <v>42</v>
      </c>
      <c r="C253" s="2" t="s">
        <v>14</v>
      </c>
      <c r="D253" s="2" t="s">
        <v>37</v>
      </c>
      <c r="E253" s="2" t="str">
        <f>FlightOps[[#This Row],[Origin]]&amp;"-"&amp;FlightOps[[#This Row],[Destination]]</f>
        <v>Karachi-Jeddah</v>
      </c>
      <c r="F253" s="3">
        <v>46028.5625</v>
      </c>
      <c r="G253" s="26">
        <f>HOUR(FlightOps[[#This Row],[ScheduledDeparture]])</f>
        <v>13</v>
      </c>
      <c r="H253" s="22">
        <v>14</v>
      </c>
      <c r="I253" s="2" t="s">
        <v>16</v>
      </c>
      <c r="J253" s="2">
        <v>180</v>
      </c>
      <c r="K253" s="2">
        <v>144</v>
      </c>
      <c r="L253" s="19">
        <f>FlightOps[[#This Row],[SeatsSold]]/FlightOps[[#This Row],[SeatsAvailable]]</f>
        <v>0.8</v>
      </c>
      <c r="M253" s="2" t="s">
        <v>25</v>
      </c>
      <c r="N253" s="4">
        <v>93555.79</v>
      </c>
      <c r="O253" s="24">
        <f>FlightOps[[#This Row],[SeatsSold]]*FlightOps[[#This Row],[AvgTicketPrice]]</f>
        <v>13472033.76</v>
      </c>
      <c r="P253" s="2" t="s">
        <v>49</v>
      </c>
    </row>
    <row r="254" spans="1:16" x14ac:dyDescent="0.25">
      <c r="A254" s="2" t="s">
        <v>284</v>
      </c>
      <c r="B254" s="2" t="s">
        <v>33</v>
      </c>
      <c r="C254" s="2" t="s">
        <v>24</v>
      </c>
      <c r="D254" s="2" t="s">
        <v>15</v>
      </c>
      <c r="E254" s="2" t="str">
        <f>FlightOps[[#This Row],[Origin]]&amp;"-"&amp;FlightOps[[#This Row],[Destination]]</f>
        <v>Lahore-Islamabad</v>
      </c>
      <c r="F254" s="3">
        <v>45844.260416666701</v>
      </c>
      <c r="G254" s="26">
        <f>HOUR(FlightOps[[#This Row],[ScheduledDeparture]])</f>
        <v>6</v>
      </c>
      <c r="H254" s="22">
        <v>14</v>
      </c>
      <c r="I254" s="2" t="s">
        <v>31</v>
      </c>
      <c r="J254" s="2">
        <v>220</v>
      </c>
      <c r="K254" s="2">
        <v>102</v>
      </c>
      <c r="L254" s="19">
        <f>FlightOps[[#This Row],[SeatsSold]]/FlightOps[[#This Row],[SeatsAvailable]]</f>
        <v>0.46363636363636362</v>
      </c>
      <c r="M254" s="2" t="s">
        <v>17</v>
      </c>
      <c r="N254" s="4">
        <v>40540.92</v>
      </c>
      <c r="O254" s="24">
        <f>FlightOps[[#This Row],[SeatsSold]]*FlightOps[[#This Row],[AvgTicketPrice]]</f>
        <v>4135173.84</v>
      </c>
      <c r="P254" s="2" t="s">
        <v>49</v>
      </c>
    </row>
    <row r="255" spans="1:16" x14ac:dyDescent="0.25">
      <c r="A255" s="2" t="s">
        <v>285</v>
      </c>
      <c r="B255" s="2" t="s">
        <v>13</v>
      </c>
      <c r="C255" s="2" t="s">
        <v>14</v>
      </c>
      <c r="D255" s="2" t="s">
        <v>30</v>
      </c>
      <c r="E255" s="2" t="str">
        <f>FlightOps[[#This Row],[Origin]]&amp;"-"&amp;FlightOps[[#This Row],[Destination]]</f>
        <v>Karachi-Dubai</v>
      </c>
      <c r="F255" s="3">
        <v>46015.84375</v>
      </c>
      <c r="G255" s="26">
        <f>HOUR(FlightOps[[#This Row],[ScheduledDeparture]])</f>
        <v>20</v>
      </c>
      <c r="H255" s="22">
        <v>0</v>
      </c>
      <c r="I255" s="2" t="s">
        <v>35</v>
      </c>
      <c r="J255" s="2">
        <v>186</v>
      </c>
      <c r="K255" s="2">
        <v>168</v>
      </c>
      <c r="L255" s="19">
        <f>FlightOps[[#This Row],[SeatsSold]]/FlightOps[[#This Row],[SeatsAvailable]]</f>
        <v>0.90322580645161288</v>
      </c>
      <c r="M255" s="2" t="s">
        <v>25</v>
      </c>
      <c r="N255" s="4">
        <v>143973.4</v>
      </c>
      <c r="O255" s="24">
        <f>FlightOps[[#This Row],[SeatsSold]]*FlightOps[[#This Row],[AvgTicketPrice]]</f>
        <v>24187531.199999999</v>
      </c>
      <c r="P255" s="2" t="s">
        <v>18</v>
      </c>
    </row>
    <row r="256" spans="1:16" x14ac:dyDescent="0.25">
      <c r="A256" s="2" t="s">
        <v>286</v>
      </c>
      <c r="B256" s="2" t="s">
        <v>42</v>
      </c>
      <c r="C256" s="2" t="s">
        <v>14</v>
      </c>
      <c r="D256" s="2" t="s">
        <v>24</v>
      </c>
      <c r="E256" s="2" t="str">
        <f>FlightOps[[#This Row],[Origin]]&amp;"-"&amp;FlightOps[[#This Row],[Destination]]</f>
        <v>Karachi-Lahore</v>
      </c>
      <c r="F256" s="3">
        <v>45892.239583333299</v>
      </c>
      <c r="G256" s="26">
        <f>HOUR(FlightOps[[#This Row],[ScheduledDeparture]])</f>
        <v>5</v>
      </c>
      <c r="H256" s="22">
        <v>0</v>
      </c>
      <c r="I256" s="2" t="s">
        <v>31</v>
      </c>
      <c r="J256" s="2">
        <v>220</v>
      </c>
      <c r="K256" s="2">
        <v>86</v>
      </c>
      <c r="L256" s="19">
        <f>FlightOps[[#This Row],[SeatsSold]]/FlightOps[[#This Row],[SeatsAvailable]]</f>
        <v>0.39090909090909093</v>
      </c>
      <c r="M256" s="2" t="s">
        <v>17</v>
      </c>
      <c r="N256" s="4">
        <v>49424.14</v>
      </c>
      <c r="O256" s="24">
        <f>FlightOps[[#This Row],[SeatsSold]]*FlightOps[[#This Row],[AvgTicketPrice]]</f>
        <v>4250476.04</v>
      </c>
      <c r="P256" s="2" t="s">
        <v>18</v>
      </c>
    </row>
    <row r="257" spans="1:16" x14ac:dyDescent="0.25">
      <c r="A257" s="2" t="s">
        <v>287</v>
      </c>
      <c r="B257" s="2" t="s">
        <v>13</v>
      </c>
      <c r="C257" s="2" t="s">
        <v>24</v>
      </c>
      <c r="D257" s="2" t="s">
        <v>30</v>
      </c>
      <c r="E257" s="2" t="str">
        <f>FlightOps[[#This Row],[Origin]]&amp;"-"&amp;FlightOps[[#This Row],[Destination]]</f>
        <v>Lahore-Dubai</v>
      </c>
      <c r="F257" s="3">
        <v>45964.489583333299</v>
      </c>
      <c r="G257" s="26">
        <f>HOUR(FlightOps[[#This Row],[ScheduledDeparture]])</f>
        <v>11</v>
      </c>
      <c r="H257" s="22">
        <v>1</v>
      </c>
      <c r="I257" s="2" t="s">
        <v>20</v>
      </c>
      <c r="J257" s="2">
        <v>72</v>
      </c>
      <c r="K257" s="2">
        <v>57</v>
      </c>
      <c r="L257" s="19">
        <f>FlightOps[[#This Row],[SeatsSold]]/FlightOps[[#This Row],[SeatsAvailable]]</f>
        <v>0.79166666666666663</v>
      </c>
      <c r="M257" s="2" t="s">
        <v>17</v>
      </c>
      <c r="N257" s="4">
        <v>20184.810000000001</v>
      </c>
      <c r="O257" s="24">
        <f>FlightOps[[#This Row],[SeatsSold]]*FlightOps[[#This Row],[AvgTicketPrice]]</f>
        <v>1150534.1700000002</v>
      </c>
      <c r="P257" s="2" t="s">
        <v>39</v>
      </c>
    </row>
    <row r="258" spans="1:16" x14ac:dyDescent="0.25">
      <c r="A258" s="2" t="s">
        <v>288</v>
      </c>
      <c r="B258" s="2" t="s">
        <v>42</v>
      </c>
      <c r="C258" s="2" t="s">
        <v>24</v>
      </c>
      <c r="D258" s="2" t="s">
        <v>15</v>
      </c>
      <c r="E258" s="2" t="str">
        <f>FlightOps[[#This Row],[Origin]]&amp;"-"&amp;FlightOps[[#This Row],[Destination]]</f>
        <v>Lahore-Islamabad</v>
      </c>
      <c r="F258" s="3">
        <v>46114.270833333299</v>
      </c>
      <c r="G258" s="26">
        <f>HOUR(FlightOps[[#This Row],[ScheduledDeparture]])</f>
        <v>6</v>
      </c>
      <c r="H258" s="22">
        <v>29</v>
      </c>
      <c r="I258" s="2" t="s">
        <v>31</v>
      </c>
      <c r="J258" s="2">
        <v>220</v>
      </c>
      <c r="K258" s="2">
        <v>120</v>
      </c>
      <c r="L258" s="19">
        <f>FlightOps[[#This Row],[SeatsSold]]/FlightOps[[#This Row],[SeatsAvailable]]</f>
        <v>0.54545454545454541</v>
      </c>
      <c r="M258" s="2" t="s">
        <v>25</v>
      </c>
      <c r="N258" s="4">
        <v>124911.53</v>
      </c>
      <c r="O258" s="24">
        <f>FlightOps[[#This Row],[SeatsSold]]*FlightOps[[#This Row],[AvgTicketPrice]]</f>
        <v>14989383.6</v>
      </c>
      <c r="P258" s="2" t="s">
        <v>49</v>
      </c>
    </row>
    <row r="259" spans="1:16" x14ac:dyDescent="0.25">
      <c r="A259" s="2" t="s">
        <v>289</v>
      </c>
      <c r="B259" s="2" t="s">
        <v>13</v>
      </c>
      <c r="C259" s="2" t="s">
        <v>14</v>
      </c>
      <c r="D259" s="2" t="s">
        <v>15</v>
      </c>
      <c r="E259" s="2" t="str">
        <f>FlightOps[[#This Row],[Origin]]&amp;"-"&amp;FlightOps[[#This Row],[Destination]]</f>
        <v>Karachi-Islamabad</v>
      </c>
      <c r="F259" s="3">
        <v>46035.75</v>
      </c>
      <c r="G259" s="26">
        <f>HOUR(FlightOps[[#This Row],[ScheduledDeparture]])</f>
        <v>18</v>
      </c>
      <c r="H259" s="22">
        <v>0</v>
      </c>
      <c r="I259" s="2" t="s">
        <v>35</v>
      </c>
      <c r="J259" s="2">
        <v>186</v>
      </c>
      <c r="K259" s="2">
        <v>139</v>
      </c>
      <c r="L259" s="19">
        <f>FlightOps[[#This Row],[SeatsSold]]/FlightOps[[#This Row],[SeatsAvailable]]</f>
        <v>0.74731182795698925</v>
      </c>
      <c r="M259" s="2" t="s">
        <v>17</v>
      </c>
      <c r="N259" s="4">
        <v>41590.769999999997</v>
      </c>
      <c r="O259" s="24">
        <f>FlightOps[[#This Row],[SeatsSold]]*FlightOps[[#This Row],[AvgTicketPrice]]</f>
        <v>5781117.0299999993</v>
      </c>
      <c r="P259" s="2" t="s">
        <v>18</v>
      </c>
    </row>
    <row r="260" spans="1:16" x14ac:dyDescent="0.25">
      <c r="A260" s="2" t="s">
        <v>290</v>
      </c>
      <c r="B260" s="2" t="s">
        <v>42</v>
      </c>
      <c r="C260" s="2" t="s">
        <v>14</v>
      </c>
      <c r="D260" s="2" t="s">
        <v>30</v>
      </c>
      <c r="E260" s="2" t="str">
        <f>FlightOps[[#This Row],[Origin]]&amp;"-"&amp;FlightOps[[#This Row],[Destination]]</f>
        <v>Karachi-Dubai</v>
      </c>
      <c r="F260" s="3">
        <v>45946.520833333299</v>
      </c>
      <c r="G260" s="26">
        <f>HOUR(FlightOps[[#This Row],[ScheduledDeparture]])</f>
        <v>12</v>
      </c>
      <c r="H260" s="22">
        <v>7</v>
      </c>
      <c r="I260" s="2" t="s">
        <v>20</v>
      </c>
      <c r="J260" s="2">
        <v>72</v>
      </c>
      <c r="K260" s="2">
        <v>55</v>
      </c>
      <c r="L260" s="19">
        <f>FlightOps[[#This Row],[SeatsSold]]/FlightOps[[#This Row],[SeatsAvailable]]</f>
        <v>0.76388888888888884</v>
      </c>
      <c r="M260" s="2" t="s">
        <v>25</v>
      </c>
      <c r="N260" s="4">
        <v>48647.19</v>
      </c>
      <c r="O260" s="24">
        <f>FlightOps[[#This Row],[SeatsSold]]*FlightOps[[#This Row],[AvgTicketPrice]]</f>
        <v>2675595.4500000002</v>
      </c>
      <c r="P260" s="2" t="s">
        <v>21</v>
      </c>
    </row>
    <row r="261" spans="1:16" x14ac:dyDescent="0.25">
      <c r="A261" s="2" t="s">
        <v>291</v>
      </c>
      <c r="B261" s="2" t="s">
        <v>42</v>
      </c>
      <c r="C261" s="2" t="s">
        <v>15</v>
      </c>
      <c r="D261" s="2" t="s">
        <v>37</v>
      </c>
      <c r="E261" s="2" t="str">
        <f>FlightOps[[#This Row],[Origin]]&amp;"-"&amp;FlightOps[[#This Row],[Destination]]</f>
        <v>Islamabad-Jeddah</v>
      </c>
      <c r="F261" s="3">
        <v>45960.979166666701</v>
      </c>
      <c r="G261" s="26">
        <f>HOUR(FlightOps[[#This Row],[ScheduledDeparture]])</f>
        <v>23</v>
      </c>
      <c r="H261" s="22">
        <v>17</v>
      </c>
      <c r="I261" s="2" t="s">
        <v>31</v>
      </c>
      <c r="J261" s="2">
        <v>220</v>
      </c>
      <c r="K261" s="2">
        <v>135</v>
      </c>
      <c r="L261" s="19">
        <f>FlightOps[[#This Row],[SeatsSold]]/FlightOps[[#This Row],[SeatsAvailable]]</f>
        <v>0.61363636363636365</v>
      </c>
      <c r="M261" s="2" t="s">
        <v>25</v>
      </c>
      <c r="N261" s="4">
        <v>59059.75</v>
      </c>
      <c r="O261" s="24">
        <f>FlightOps[[#This Row],[SeatsSold]]*FlightOps[[#This Row],[AvgTicketPrice]]</f>
        <v>7973066.25</v>
      </c>
      <c r="P261" s="2" t="s">
        <v>49</v>
      </c>
    </row>
    <row r="262" spans="1:16" x14ac:dyDescent="0.25">
      <c r="A262" s="2" t="s">
        <v>292</v>
      </c>
      <c r="B262" s="2" t="s">
        <v>33</v>
      </c>
      <c r="C262" s="2" t="s">
        <v>14</v>
      </c>
      <c r="D262" s="2" t="s">
        <v>37</v>
      </c>
      <c r="E262" s="2" t="str">
        <f>FlightOps[[#This Row],[Origin]]&amp;"-"&amp;FlightOps[[#This Row],[Destination]]</f>
        <v>Karachi-Jeddah</v>
      </c>
      <c r="F262" s="3">
        <v>46117.791666666701</v>
      </c>
      <c r="G262" s="26">
        <f>HOUR(FlightOps[[#This Row],[ScheduledDeparture]])</f>
        <v>19</v>
      </c>
      <c r="H262" s="22">
        <v>0</v>
      </c>
      <c r="I262" s="2" t="s">
        <v>31</v>
      </c>
      <c r="J262" s="2">
        <v>220</v>
      </c>
      <c r="K262" s="2">
        <v>218</v>
      </c>
      <c r="L262" s="19">
        <f>FlightOps[[#This Row],[SeatsSold]]/FlightOps[[#This Row],[SeatsAvailable]]</f>
        <v>0.99090909090909096</v>
      </c>
      <c r="M262" s="2" t="s">
        <v>25</v>
      </c>
      <c r="N262" s="4">
        <v>129820.4</v>
      </c>
      <c r="O262" s="24">
        <f>FlightOps[[#This Row],[SeatsSold]]*FlightOps[[#This Row],[AvgTicketPrice]]</f>
        <v>28300847.199999999</v>
      </c>
      <c r="P262" s="2" t="s">
        <v>18</v>
      </c>
    </row>
    <row r="263" spans="1:16" x14ac:dyDescent="0.25">
      <c r="A263" s="2" t="s">
        <v>293</v>
      </c>
      <c r="B263" s="2" t="s">
        <v>33</v>
      </c>
      <c r="C263" s="2" t="s">
        <v>14</v>
      </c>
      <c r="D263" s="2" t="s">
        <v>15</v>
      </c>
      <c r="E263" s="2" t="str">
        <f>FlightOps[[#This Row],[Origin]]&amp;"-"&amp;FlightOps[[#This Row],[Destination]]</f>
        <v>Karachi-Islamabad</v>
      </c>
      <c r="F263" s="3">
        <v>45945.854166666701</v>
      </c>
      <c r="G263" s="26">
        <f>HOUR(FlightOps[[#This Row],[ScheduledDeparture]])</f>
        <v>20</v>
      </c>
      <c r="H263" s="22">
        <v>7</v>
      </c>
      <c r="I263" s="2" t="s">
        <v>31</v>
      </c>
      <c r="J263" s="2">
        <v>220</v>
      </c>
      <c r="K263" s="2">
        <v>142</v>
      </c>
      <c r="L263" s="19">
        <f>FlightOps[[#This Row],[SeatsSold]]/FlightOps[[#This Row],[SeatsAvailable]]</f>
        <v>0.6454545454545455</v>
      </c>
      <c r="M263" s="2" t="s">
        <v>25</v>
      </c>
      <c r="N263" s="4">
        <v>70161.33</v>
      </c>
      <c r="O263" s="24">
        <f>FlightOps[[#This Row],[SeatsSold]]*FlightOps[[#This Row],[AvgTicketPrice]]</f>
        <v>9962908.8599999994</v>
      </c>
      <c r="P263" s="2" t="s">
        <v>49</v>
      </c>
    </row>
    <row r="264" spans="1:16" x14ac:dyDescent="0.25">
      <c r="A264" s="2" t="s">
        <v>294</v>
      </c>
      <c r="B264" s="2" t="s">
        <v>33</v>
      </c>
      <c r="C264" s="2" t="s">
        <v>14</v>
      </c>
      <c r="D264" s="2" t="s">
        <v>30</v>
      </c>
      <c r="E264" s="2" t="str">
        <f>FlightOps[[#This Row],[Origin]]&amp;"-"&amp;FlightOps[[#This Row],[Destination]]</f>
        <v>Karachi-Dubai</v>
      </c>
      <c r="F264" s="3">
        <v>46050.291666666701</v>
      </c>
      <c r="G264" s="26">
        <f>HOUR(FlightOps[[#This Row],[ScheduledDeparture]])</f>
        <v>7</v>
      </c>
      <c r="H264" s="22">
        <v>0</v>
      </c>
      <c r="I264" s="2" t="s">
        <v>35</v>
      </c>
      <c r="J264" s="2">
        <v>186</v>
      </c>
      <c r="K264" s="2">
        <v>150</v>
      </c>
      <c r="L264" s="19">
        <f>FlightOps[[#This Row],[SeatsSold]]/FlightOps[[#This Row],[SeatsAvailable]]</f>
        <v>0.80645161290322576</v>
      </c>
      <c r="M264" s="2" t="s">
        <v>25</v>
      </c>
      <c r="N264" s="4">
        <v>86595.02</v>
      </c>
      <c r="O264" s="24">
        <f>FlightOps[[#This Row],[SeatsSold]]*FlightOps[[#This Row],[AvgTicketPrice]]</f>
        <v>12989253</v>
      </c>
      <c r="P264" s="2" t="s">
        <v>18</v>
      </c>
    </row>
    <row r="265" spans="1:16" x14ac:dyDescent="0.25">
      <c r="A265" s="2" t="s">
        <v>295</v>
      </c>
      <c r="B265" s="2" t="s">
        <v>33</v>
      </c>
      <c r="C265" s="2" t="s">
        <v>24</v>
      </c>
      <c r="D265" s="2" t="s">
        <v>15</v>
      </c>
      <c r="E265" s="2" t="str">
        <f>FlightOps[[#This Row],[Origin]]&amp;"-"&amp;FlightOps[[#This Row],[Destination]]</f>
        <v>Lahore-Islamabad</v>
      </c>
      <c r="F265" s="3">
        <v>46114.979166666701</v>
      </c>
      <c r="G265" s="26">
        <f>HOUR(FlightOps[[#This Row],[ScheduledDeparture]])</f>
        <v>23</v>
      </c>
      <c r="H265" s="22">
        <v>54</v>
      </c>
      <c r="I265" s="2" t="s">
        <v>16</v>
      </c>
      <c r="J265" s="2">
        <v>180</v>
      </c>
      <c r="K265" s="2">
        <v>129</v>
      </c>
      <c r="L265" s="19">
        <f>FlightOps[[#This Row],[SeatsSold]]/FlightOps[[#This Row],[SeatsAvailable]]</f>
        <v>0.71666666666666667</v>
      </c>
      <c r="M265" s="2" t="s">
        <v>17</v>
      </c>
      <c r="N265" s="4">
        <v>36351.14</v>
      </c>
      <c r="O265" s="24">
        <f>FlightOps[[#This Row],[SeatsSold]]*FlightOps[[#This Row],[AvgTicketPrice]]</f>
        <v>4689297.0599999996</v>
      </c>
      <c r="P265" s="2" t="s">
        <v>49</v>
      </c>
    </row>
    <row r="266" spans="1:16" x14ac:dyDescent="0.25">
      <c r="A266" s="2" t="s">
        <v>296</v>
      </c>
      <c r="B266" s="2" t="s">
        <v>42</v>
      </c>
      <c r="C266" s="2" t="s">
        <v>14</v>
      </c>
      <c r="D266" s="2" t="s">
        <v>15</v>
      </c>
      <c r="E266" s="2" t="str">
        <f>FlightOps[[#This Row],[Origin]]&amp;"-"&amp;FlightOps[[#This Row],[Destination]]</f>
        <v>Karachi-Islamabad</v>
      </c>
      <c r="F266" s="3">
        <v>46013.458333333299</v>
      </c>
      <c r="G266" s="26">
        <f>HOUR(FlightOps[[#This Row],[ScheduledDeparture]])</f>
        <v>11</v>
      </c>
      <c r="H266" s="22">
        <v>48</v>
      </c>
      <c r="I266" s="2" t="s">
        <v>16</v>
      </c>
      <c r="J266" s="2">
        <v>180</v>
      </c>
      <c r="K266" s="2">
        <v>167</v>
      </c>
      <c r="L266" s="19">
        <f>FlightOps[[#This Row],[SeatsSold]]/FlightOps[[#This Row],[SeatsAvailable]]</f>
        <v>0.92777777777777781</v>
      </c>
      <c r="M266" s="2" t="s">
        <v>17</v>
      </c>
      <c r="N266" s="4">
        <v>36900.82</v>
      </c>
      <c r="O266" s="24">
        <f>FlightOps[[#This Row],[SeatsSold]]*FlightOps[[#This Row],[AvgTicketPrice]]</f>
        <v>6162436.9400000004</v>
      </c>
      <c r="P266" s="2" t="s">
        <v>49</v>
      </c>
    </row>
    <row r="267" spans="1:16" x14ac:dyDescent="0.25">
      <c r="A267" s="2" t="s">
        <v>297</v>
      </c>
      <c r="B267" s="2" t="s">
        <v>42</v>
      </c>
      <c r="C267" s="2" t="s">
        <v>14</v>
      </c>
      <c r="D267" s="2" t="s">
        <v>37</v>
      </c>
      <c r="E267" s="2" t="str">
        <f>FlightOps[[#This Row],[Origin]]&amp;"-"&amp;FlightOps[[#This Row],[Destination]]</f>
        <v>Karachi-Jeddah</v>
      </c>
      <c r="F267" s="3">
        <v>46061.8125</v>
      </c>
      <c r="G267" s="26">
        <f>HOUR(FlightOps[[#This Row],[ScheduledDeparture]])</f>
        <v>19</v>
      </c>
      <c r="H267" s="22">
        <v>13</v>
      </c>
      <c r="I267" s="2" t="s">
        <v>31</v>
      </c>
      <c r="J267" s="2">
        <v>220</v>
      </c>
      <c r="K267" s="2">
        <v>129</v>
      </c>
      <c r="L267" s="19">
        <f>FlightOps[[#This Row],[SeatsSold]]/FlightOps[[#This Row],[SeatsAvailable]]</f>
        <v>0.58636363636363631</v>
      </c>
      <c r="M267" s="2" t="s">
        <v>17</v>
      </c>
      <c r="N267" s="4">
        <v>46126.01</v>
      </c>
      <c r="O267" s="24">
        <f>FlightOps[[#This Row],[SeatsSold]]*FlightOps[[#This Row],[AvgTicketPrice]]</f>
        <v>5950255.29</v>
      </c>
      <c r="P267" s="2" t="s">
        <v>39</v>
      </c>
    </row>
    <row r="268" spans="1:16" x14ac:dyDescent="0.25">
      <c r="A268" s="2" t="s">
        <v>298</v>
      </c>
      <c r="B268" s="2" t="s">
        <v>23</v>
      </c>
      <c r="C268" s="2" t="s">
        <v>15</v>
      </c>
      <c r="D268" s="2" t="s">
        <v>37</v>
      </c>
      <c r="E268" s="2" t="str">
        <f>FlightOps[[#This Row],[Origin]]&amp;"-"&amp;FlightOps[[#This Row],[Destination]]</f>
        <v>Islamabad-Jeddah</v>
      </c>
      <c r="F268" s="3">
        <v>45970.947916666701</v>
      </c>
      <c r="G268" s="26">
        <f>HOUR(FlightOps[[#This Row],[ScheduledDeparture]])</f>
        <v>22</v>
      </c>
      <c r="H268" s="22">
        <v>0</v>
      </c>
      <c r="I268" s="2" t="s">
        <v>35</v>
      </c>
      <c r="J268" s="2">
        <v>186</v>
      </c>
      <c r="K268" s="2">
        <v>136</v>
      </c>
      <c r="L268" s="19">
        <f>FlightOps[[#This Row],[SeatsSold]]/FlightOps[[#This Row],[SeatsAvailable]]</f>
        <v>0.73118279569892475</v>
      </c>
      <c r="M268" s="2" t="s">
        <v>25</v>
      </c>
      <c r="N268" s="4">
        <v>126231.25</v>
      </c>
      <c r="O268" s="24">
        <f>FlightOps[[#This Row],[SeatsSold]]*FlightOps[[#This Row],[AvgTicketPrice]]</f>
        <v>17167450</v>
      </c>
      <c r="P268" s="2" t="s">
        <v>18</v>
      </c>
    </row>
    <row r="269" spans="1:16" x14ac:dyDescent="0.25">
      <c r="A269" s="2" t="s">
        <v>299</v>
      </c>
      <c r="B269" s="2" t="s">
        <v>33</v>
      </c>
      <c r="C269" s="2" t="s">
        <v>24</v>
      </c>
      <c r="D269" s="2" t="s">
        <v>15</v>
      </c>
      <c r="E269" s="2" t="str">
        <f>FlightOps[[#This Row],[Origin]]&amp;"-"&amp;FlightOps[[#This Row],[Destination]]</f>
        <v>Lahore-Islamabad</v>
      </c>
      <c r="F269" s="3">
        <v>46050.416666666701</v>
      </c>
      <c r="G269" s="26">
        <f>HOUR(FlightOps[[#This Row],[ScheduledDeparture]])</f>
        <v>10</v>
      </c>
      <c r="H269" s="22">
        <v>0</v>
      </c>
      <c r="I269" s="2" t="s">
        <v>20</v>
      </c>
      <c r="J269" s="2">
        <v>72</v>
      </c>
      <c r="K269" s="2">
        <v>45</v>
      </c>
      <c r="L269" s="19">
        <f>FlightOps[[#This Row],[SeatsSold]]/FlightOps[[#This Row],[SeatsAvailable]]</f>
        <v>0.625</v>
      </c>
      <c r="M269" s="2" t="s">
        <v>25</v>
      </c>
      <c r="N269" s="4">
        <v>89097.94</v>
      </c>
      <c r="O269" s="24">
        <f>FlightOps[[#This Row],[SeatsSold]]*FlightOps[[#This Row],[AvgTicketPrice]]</f>
        <v>4009407.3000000003</v>
      </c>
      <c r="P269" s="2" t="s">
        <v>18</v>
      </c>
    </row>
    <row r="270" spans="1:16" x14ac:dyDescent="0.25">
      <c r="A270" s="2" t="s">
        <v>300</v>
      </c>
      <c r="B270" s="2" t="s">
        <v>42</v>
      </c>
      <c r="C270" s="2" t="s">
        <v>24</v>
      </c>
      <c r="D270" s="2" t="s">
        <v>15</v>
      </c>
      <c r="E270" s="2" t="str">
        <f>FlightOps[[#This Row],[Origin]]&amp;"-"&amp;FlightOps[[#This Row],[Destination]]</f>
        <v>Lahore-Islamabad</v>
      </c>
      <c r="F270" s="3">
        <v>46077.729166666701</v>
      </c>
      <c r="G270" s="26">
        <f>HOUR(FlightOps[[#This Row],[ScheduledDeparture]])</f>
        <v>17</v>
      </c>
      <c r="H270" s="22">
        <v>32</v>
      </c>
      <c r="I270" s="2" t="s">
        <v>35</v>
      </c>
      <c r="J270" s="2">
        <v>186</v>
      </c>
      <c r="K270" s="2">
        <v>98</v>
      </c>
      <c r="L270" s="19">
        <f>FlightOps[[#This Row],[SeatsSold]]/FlightOps[[#This Row],[SeatsAvailable]]</f>
        <v>0.5268817204301075</v>
      </c>
      <c r="M270" s="2" t="s">
        <v>25</v>
      </c>
      <c r="N270" s="4">
        <v>135895.42000000001</v>
      </c>
      <c r="O270" s="24">
        <f>FlightOps[[#This Row],[SeatsSold]]*FlightOps[[#This Row],[AvgTicketPrice]]</f>
        <v>13317751.160000002</v>
      </c>
      <c r="P270" s="2" t="s">
        <v>21</v>
      </c>
    </row>
    <row r="271" spans="1:16" x14ac:dyDescent="0.25">
      <c r="A271" s="2" t="s">
        <v>301</v>
      </c>
      <c r="B271" s="2" t="s">
        <v>13</v>
      </c>
      <c r="C271" s="2" t="s">
        <v>14</v>
      </c>
      <c r="D271" s="2" t="s">
        <v>15</v>
      </c>
      <c r="E271" s="2" t="str">
        <f>FlightOps[[#This Row],[Origin]]&amp;"-"&amp;FlightOps[[#This Row],[Destination]]</f>
        <v>Karachi-Islamabad</v>
      </c>
      <c r="F271" s="3">
        <v>45908.59375</v>
      </c>
      <c r="G271" s="26">
        <f>HOUR(FlightOps[[#This Row],[ScheduledDeparture]])</f>
        <v>14</v>
      </c>
      <c r="H271" s="22">
        <v>4</v>
      </c>
      <c r="I271" s="2" t="s">
        <v>31</v>
      </c>
      <c r="J271" s="2">
        <v>220</v>
      </c>
      <c r="K271" s="2">
        <v>169</v>
      </c>
      <c r="L271" s="19">
        <f>FlightOps[[#This Row],[SeatsSold]]/FlightOps[[#This Row],[SeatsAvailable]]</f>
        <v>0.76818181818181819</v>
      </c>
      <c r="M271" s="2" t="s">
        <v>25</v>
      </c>
      <c r="N271" s="4">
        <v>110070.71</v>
      </c>
      <c r="O271" s="24">
        <f>FlightOps[[#This Row],[SeatsSold]]*FlightOps[[#This Row],[AvgTicketPrice]]</f>
        <v>18601949.990000002</v>
      </c>
      <c r="P271" s="2" t="s">
        <v>26</v>
      </c>
    </row>
    <row r="272" spans="1:16" x14ac:dyDescent="0.25">
      <c r="A272" s="2" t="s">
        <v>302</v>
      </c>
      <c r="B272" s="2" t="s">
        <v>42</v>
      </c>
      <c r="C272" s="2" t="s">
        <v>14</v>
      </c>
      <c r="D272" s="2" t="s">
        <v>24</v>
      </c>
      <c r="E272" s="2" t="str">
        <f>FlightOps[[#This Row],[Origin]]&amp;"-"&amp;FlightOps[[#This Row],[Destination]]</f>
        <v>Karachi-Lahore</v>
      </c>
      <c r="F272" s="3">
        <v>46167.34375</v>
      </c>
      <c r="G272" s="26">
        <f>HOUR(FlightOps[[#This Row],[ScheduledDeparture]])</f>
        <v>8</v>
      </c>
      <c r="H272" s="22">
        <v>0</v>
      </c>
      <c r="I272" s="2" t="s">
        <v>16</v>
      </c>
      <c r="J272" s="2">
        <v>180</v>
      </c>
      <c r="K272" s="2">
        <v>147</v>
      </c>
      <c r="L272" s="19">
        <f>FlightOps[[#This Row],[SeatsSold]]/FlightOps[[#This Row],[SeatsAvailable]]</f>
        <v>0.81666666666666665</v>
      </c>
      <c r="M272" s="2" t="s">
        <v>25</v>
      </c>
      <c r="N272" s="4">
        <v>87806.99</v>
      </c>
      <c r="O272" s="24">
        <f>FlightOps[[#This Row],[SeatsSold]]*FlightOps[[#This Row],[AvgTicketPrice]]</f>
        <v>12907627.530000001</v>
      </c>
      <c r="P272" s="2" t="s">
        <v>18</v>
      </c>
    </row>
    <row r="273" spans="1:16" x14ac:dyDescent="0.25">
      <c r="A273" s="2" t="s">
        <v>303</v>
      </c>
      <c r="B273" s="2" t="s">
        <v>42</v>
      </c>
      <c r="C273" s="2" t="s">
        <v>14</v>
      </c>
      <c r="D273" s="2" t="s">
        <v>15</v>
      </c>
      <c r="E273" s="2" t="str">
        <f>FlightOps[[#This Row],[Origin]]&amp;"-"&amp;FlightOps[[#This Row],[Destination]]</f>
        <v>Karachi-Islamabad</v>
      </c>
      <c r="F273" s="3">
        <v>46114.75</v>
      </c>
      <c r="G273" s="26">
        <f>HOUR(FlightOps[[#This Row],[ScheduledDeparture]])</f>
        <v>18</v>
      </c>
      <c r="H273" s="22">
        <v>2</v>
      </c>
      <c r="I273" s="2" t="s">
        <v>16</v>
      </c>
      <c r="J273" s="2">
        <v>180</v>
      </c>
      <c r="K273" s="2">
        <v>128</v>
      </c>
      <c r="L273" s="19">
        <f>FlightOps[[#This Row],[SeatsSold]]/FlightOps[[#This Row],[SeatsAvailable]]</f>
        <v>0.71111111111111114</v>
      </c>
      <c r="M273" s="2" t="s">
        <v>17</v>
      </c>
      <c r="N273" s="4">
        <v>42778.1</v>
      </c>
      <c r="O273" s="24">
        <f>FlightOps[[#This Row],[SeatsSold]]*FlightOps[[#This Row],[AvgTicketPrice]]</f>
        <v>5475596.7999999998</v>
      </c>
      <c r="P273" s="2" t="s">
        <v>39</v>
      </c>
    </row>
    <row r="274" spans="1:16" x14ac:dyDescent="0.25">
      <c r="A274" s="2" t="s">
        <v>304</v>
      </c>
      <c r="B274" s="2" t="s">
        <v>33</v>
      </c>
      <c r="C274" s="2" t="s">
        <v>15</v>
      </c>
      <c r="D274" s="2" t="s">
        <v>37</v>
      </c>
      <c r="E274" s="2" t="str">
        <f>FlightOps[[#This Row],[Origin]]&amp;"-"&amp;FlightOps[[#This Row],[Destination]]</f>
        <v>Islamabad-Jeddah</v>
      </c>
      <c r="F274" s="3">
        <v>46027.302083333299</v>
      </c>
      <c r="G274" s="26">
        <f>HOUR(FlightOps[[#This Row],[ScheduledDeparture]])</f>
        <v>7</v>
      </c>
      <c r="H274" s="22">
        <v>18</v>
      </c>
      <c r="I274" s="2" t="s">
        <v>31</v>
      </c>
      <c r="J274" s="2">
        <v>220</v>
      </c>
      <c r="K274" s="2">
        <v>82</v>
      </c>
      <c r="L274" s="19">
        <f>FlightOps[[#This Row],[SeatsSold]]/FlightOps[[#This Row],[SeatsAvailable]]</f>
        <v>0.37272727272727274</v>
      </c>
      <c r="M274" s="2" t="s">
        <v>17</v>
      </c>
      <c r="N274" s="4">
        <v>43200.41</v>
      </c>
      <c r="O274" s="24">
        <f>FlightOps[[#This Row],[SeatsSold]]*FlightOps[[#This Row],[AvgTicketPrice]]</f>
        <v>3542433.62</v>
      </c>
      <c r="P274" s="2" t="s">
        <v>21</v>
      </c>
    </row>
    <row r="275" spans="1:16" x14ac:dyDescent="0.25">
      <c r="A275" s="2" t="s">
        <v>305</v>
      </c>
      <c r="B275" s="2" t="s">
        <v>33</v>
      </c>
      <c r="C275" s="2" t="s">
        <v>24</v>
      </c>
      <c r="D275" s="2" t="s">
        <v>28</v>
      </c>
      <c r="E275" s="2" t="str">
        <f>FlightOps[[#This Row],[Origin]]&amp;"-"&amp;FlightOps[[#This Row],[Destination]]</f>
        <v>Lahore-London</v>
      </c>
      <c r="F275" s="3">
        <v>45859.458333333299</v>
      </c>
      <c r="G275" s="26">
        <f>HOUR(FlightOps[[#This Row],[ScheduledDeparture]])</f>
        <v>11</v>
      </c>
      <c r="H275" s="22">
        <v>15</v>
      </c>
      <c r="I275" s="2" t="s">
        <v>20</v>
      </c>
      <c r="J275" s="2">
        <v>72</v>
      </c>
      <c r="K275" s="2">
        <v>28</v>
      </c>
      <c r="L275" s="19">
        <f>FlightOps[[#This Row],[SeatsSold]]/FlightOps[[#This Row],[SeatsAvailable]]</f>
        <v>0.3888888888888889</v>
      </c>
      <c r="M275" s="2" t="s">
        <v>17</v>
      </c>
      <c r="N275" s="4">
        <v>26034.93</v>
      </c>
      <c r="O275" s="24">
        <f>FlightOps[[#This Row],[SeatsSold]]*FlightOps[[#This Row],[AvgTicketPrice]]</f>
        <v>728978.04</v>
      </c>
      <c r="P275" s="2" t="s">
        <v>39</v>
      </c>
    </row>
    <row r="276" spans="1:16" x14ac:dyDescent="0.25">
      <c r="A276" s="2" t="s">
        <v>306</v>
      </c>
      <c r="B276" s="2" t="s">
        <v>42</v>
      </c>
      <c r="C276" s="2" t="s">
        <v>14</v>
      </c>
      <c r="D276" s="2" t="s">
        <v>37</v>
      </c>
      <c r="E276" s="2" t="str">
        <f>FlightOps[[#This Row],[Origin]]&amp;"-"&amp;FlightOps[[#This Row],[Destination]]</f>
        <v>Karachi-Jeddah</v>
      </c>
      <c r="F276" s="3">
        <v>45894.8125</v>
      </c>
      <c r="G276" s="26">
        <f>HOUR(FlightOps[[#This Row],[ScheduledDeparture]])</f>
        <v>19</v>
      </c>
      <c r="H276" s="22">
        <v>12</v>
      </c>
      <c r="I276" s="2" t="s">
        <v>20</v>
      </c>
      <c r="J276" s="2">
        <v>72</v>
      </c>
      <c r="K276" s="2">
        <v>47</v>
      </c>
      <c r="L276" s="19">
        <f>FlightOps[[#This Row],[SeatsSold]]/FlightOps[[#This Row],[SeatsAvailable]]</f>
        <v>0.65277777777777779</v>
      </c>
      <c r="M276" s="2" t="s">
        <v>25</v>
      </c>
      <c r="N276" s="4">
        <v>54420.31</v>
      </c>
      <c r="O276" s="24">
        <f>FlightOps[[#This Row],[SeatsSold]]*FlightOps[[#This Row],[AvgTicketPrice]]</f>
        <v>2557754.5699999998</v>
      </c>
      <c r="P276" s="2" t="s">
        <v>49</v>
      </c>
    </row>
    <row r="277" spans="1:16" x14ac:dyDescent="0.25">
      <c r="A277" s="2" t="s">
        <v>307</v>
      </c>
      <c r="B277" s="2" t="s">
        <v>42</v>
      </c>
      <c r="C277" s="2" t="s">
        <v>24</v>
      </c>
      <c r="D277" s="2" t="s">
        <v>28</v>
      </c>
      <c r="E277" s="2" t="str">
        <f>FlightOps[[#This Row],[Origin]]&amp;"-"&amp;FlightOps[[#This Row],[Destination]]</f>
        <v>Lahore-London</v>
      </c>
      <c r="F277" s="3">
        <v>45864.302083333299</v>
      </c>
      <c r="G277" s="26">
        <f>HOUR(FlightOps[[#This Row],[ScheduledDeparture]])</f>
        <v>7</v>
      </c>
      <c r="H277" s="22">
        <v>15</v>
      </c>
      <c r="I277" s="2" t="s">
        <v>20</v>
      </c>
      <c r="J277" s="2">
        <v>72</v>
      </c>
      <c r="K277" s="2">
        <v>64</v>
      </c>
      <c r="L277" s="19">
        <f>FlightOps[[#This Row],[SeatsSold]]/FlightOps[[#This Row],[SeatsAvailable]]</f>
        <v>0.88888888888888884</v>
      </c>
      <c r="M277" s="2" t="s">
        <v>17</v>
      </c>
      <c r="N277" s="4">
        <v>10848.6</v>
      </c>
      <c r="O277" s="24">
        <f>FlightOps[[#This Row],[SeatsSold]]*FlightOps[[#This Row],[AvgTicketPrice]]</f>
        <v>694310.40000000002</v>
      </c>
      <c r="P277" s="2" t="s">
        <v>26</v>
      </c>
    </row>
    <row r="278" spans="1:16" x14ac:dyDescent="0.25">
      <c r="A278" s="2" t="s">
        <v>308</v>
      </c>
      <c r="B278" s="2" t="s">
        <v>42</v>
      </c>
      <c r="C278" s="2" t="s">
        <v>24</v>
      </c>
      <c r="D278" s="2" t="s">
        <v>15</v>
      </c>
      <c r="E278" s="2" t="str">
        <f>FlightOps[[#This Row],[Origin]]&amp;"-"&amp;FlightOps[[#This Row],[Destination]]</f>
        <v>Lahore-Islamabad</v>
      </c>
      <c r="F278" s="3">
        <v>46124.708333333299</v>
      </c>
      <c r="G278" s="26">
        <f>HOUR(FlightOps[[#This Row],[ScheduledDeparture]])</f>
        <v>17</v>
      </c>
      <c r="H278" s="22">
        <v>8</v>
      </c>
      <c r="I278" s="2" t="s">
        <v>20</v>
      </c>
      <c r="J278" s="2">
        <v>72</v>
      </c>
      <c r="K278" s="2">
        <v>40</v>
      </c>
      <c r="L278" s="19">
        <f>FlightOps[[#This Row],[SeatsSold]]/FlightOps[[#This Row],[SeatsAvailable]]</f>
        <v>0.55555555555555558</v>
      </c>
      <c r="M278" s="2" t="s">
        <v>25</v>
      </c>
      <c r="N278" s="4">
        <v>106742.75</v>
      </c>
      <c r="O278" s="24">
        <f>FlightOps[[#This Row],[SeatsSold]]*FlightOps[[#This Row],[AvgTicketPrice]]</f>
        <v>4269710</v>
      </c>
      <c r="P278" s="2" t="s">
        <v>49</v>
      </c>
    </row>
    <row r="279" spans="1:16" x14ac:dyDescent="0.25">
      <c r="A279" s="2" t="s">
        <v>309</v>
      </c>
      <c r="B279" s="2" t="s">
        <v>33</v>
      </c>
      <c r="C279" s="2" t="s">
        <v>14</v>
      </c>
      <c r="D279" s="2" t="s">
        <v>30</v>
      </c>
      <c r="E279" s="2" t="str">
        <f>FlightOps[[#This Row],[Origin]]&amp;"-"&amp;FlightOps[[#This Row],[Destination]]</f>
        <v>Karachi-Dubai</v>
      </c>
      <c r="F279" s="3">
        <v>46113.802083333299</v>
      </c>
      <c r="G279" s="26">
        <f>HOUR(FlightOps[[#This Row],[ScheduledDeparture]])</f>
        <v>19</v>
      </c>
      <c r="H279" s="22">
        <v>29</v>
      </c>
      <c r="I279" s="2" t="s">
        <v>16</v>
      </c>
      <c r="J279" s="2">
        <v>180</v>
      </c>
      <c r="K279" s="2">
        <v>164</v>
      </c>
      <c r="L279" s="19">
        <f>FlightOps[[#This Row],[SeatsSold]]/FlightOps[[#This Row],[SeatsAvailable]]</f>
        <v>0.91111111111111109</v>
      </c>
      <c r="M279" s="2" t="s">
        <v>25</v>
      </c>
      <c r="N279" s="4">
        <v>56508.75</v>
      </c>
      <c r="O279" s="24">
        <f>FlightOps[[#This Row],[SeatsSold]]*FlightOps[[#This Row],[AvgTicketPrice]]</f>
        <v>9267435</v>
      </c>
      <c r="P279" s="2" t="s">
        <v>21</v>
      </c>
    </row>
    <row r="280" spans="1:16" x14ac:dyDescent="0.25">
      <c r="A280" s="2" t="s">
        <v>310</v>
      </c>
      <c r="B280" s="2" t="s">
        <v>13</v>
      </c>
      <c r="C280" s="2" t="s">
        <v>14</v>
      </c>
      <c r="D280" s="2" t="s">
        <v>15</v>
      </c>
      <c r="E280" s="2" t="str">
        <f>FlightOps[[#This Row],[Origin]]&amp;"-"&amp;FlightOps[[#This Row],[Destination]]</f>
        <v>Karachi-Islamabad</v>
      </c>
      <c r="F280" s="3">
        <v>46036.927083333299</v>
      </c>
      <c r="G280" s="26">
        <f>HOUR(FlightOps[[#This Row],[ScheduledDeparture]])</f>
        <v>22</v>
      </c>
      <c r="H280" s="22">
        <v>0</v>
      </c>
      <c r="I280" s="2" t="s">
        <v>16</v>
      </c>
      <c r="J280" s="2">
        <v>180</v>
      </c>
      <c r="K280" s="2">
        <v>176</v>
      </c>
      <c r="L280" s="19">
        <f>FlightOps[[#This Row],[SeatsSold]]/FlightOps[[#This Row],[SeatsAvailable]]</f>
        <v>0.97777777777777775</v>
      </c>
      <c r="M280" s="2" t="s">
        <v>25</v>
      </c>
      <c r="N280" s="4">
        <v>149027.54999999999</v>
      </c>
      <c r="O280" s="24">
        <f>FlightOps[[#This Row],[SeatsSold]]*FlightOps[[#This Row],[AvgTicketPrice]]</f>
        <v>26228848.799999997</v>
      </c>
      <c r="P280" s="2" t="s">
        <v>18</v>
      </c>
    </row>
    <row r="281" spans="1:16" x14ac:dyDescent="0.25">
      <c r="A281" s="2" t="s">
        <v>311</v>
      </c>
      <c r="B281" s="2" t="s">
        <v>23</v>
      </c>
      <c r="C281" s="2" t="s">
        <v>14</v>
      </c>
      <c r="D281" s="2" t="s">
        <v>30</v>
      </c>
      <c r="E281" s="2" t="str">
        <f>FlightOps[[#This Row],[Origin]]&amp;"-"&amp;FlightOps[[#This Row],[Destination]]</f>
        <v>Karachi-Dubai</v>
      </c>
      <c r="F281" s="3">
        <v>46095.166666666701</v>
      </c>
      <c r="G281" s="26">
        <f>HOUR(FlightOps[[#This Row],[ScheduledDeparture]])</f>
        <v>4</v>
      </c>
      <c r="H281" s="22">
        <v>25</v>
      </c>
      <c r="I281" s="2" t="s">
        <v>16</v>
      </c>
      <c r="J281" s="2">
        <v>180</v>
      </c>
      <c r="K281" s="2">
        <v>112</v>
      </c>
      <c r="L281" s="19">
        <f>FlightOps[[#This Row],[SeatsSold]]/FlightOps[[#This Row],[SeatsAvailable]]</f>
        <v>0.62222222222222223</v>
      </c>
      <c r="M281" s="2" t="s">
        <v>17</v>
      </c>
      <c r="N281" s="4">
        <v>9285.6200000000008</v>
      </c>
      <c r="O281" s="24">
        <f>FlightOps[[#This Row],[SeatsSold]]*FlightOps[[#This Row],[AvgTicketPrice]]</f>
        <v>1039989.4400000001</v>
      </c>
      <c r="P281" s="2" t="s">
        <v>49</v>
      </c>
    </row>
    <row r="282" spans="1:16" x14ac:dyDescent="0.25">
      <c r="A282" s="2" t="s">
        <v>312</v>
      </c>
      <c r="B282" s="2" t="s">
        <v>42</v>
      </c>
      <c r="C282" s="2" t="s">
        <v>24</v>
      </c>
      <c r="D282" s="2" t="s">
        <v>15</v>
      </c>
      <c r="E282" s="2" t="str">
        <f>FlightOps[[#This Row],[Origin]]&amp;"-"&amp;FlightOps[[#This Row],[Destination]]</f>
        <v>Lahore-Islamabad</v>
      </c>
      <c r="F282" s="3">
        <v>45977.427083333299</v>
      </c>
      <c r="G282" s="26">
        <f>HOUR(FlightOps[[#This Row],[ScheduledDeparture]])</f>
        <v>10</v>
      </c>
      <c r="H282" s="22">
        <v>77</v>
      </c>
      <c r="I282" s="2" t="s">
        <v>20</v>
      </c>
      <c r="J282" s="2">
        <v>72</v>
      </c>
      <c r="K282" s="2">
        <v>28</v>
      </c>
      <c r="L282" s="19">
        <f>FlightOps[[#This Row],[SeatsSold]]/FlightOps[[#This Row],[SeatsAvailable]]</f>
        <v>0.3888888888888889</v>
      </c>
      <c r="M282" s="2" t="s">
        <v>25</v>
      </c>
      <c r="N282" s="4">
        <v>107573</v>
      </c>
      <c r="O282" s="24">
        <f>FlightOps[[#This Row],[SeatsSold]]*FlightOps[[#This Row],[AvgTicketPrice]]</f>
        <v>3012044</v>
      </c>
      <c r="P282" s="2" t="s">
        <v>39</v>
      </c>
    </row>
  </sheetData>
  <mergeCells count="1">
    <mergeCell ref="A1:D1"/>
  </mergeCell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9943C-5A23-4421-8F3C-B813FB5CA77B}">
  <dimension ref="A1:E9"/>
  <sheetViews>
    <sheetView workbookViewId="0">
      <selection activeCell="E14" sqref="E14"/>
    </sheetView>
  </sheetViews>
  <sheetFormatPr defaultRowHeight="15" x14ac:dyDescent="0.25"/>
  <cols>
    <col min="1" max="2" width="13.140625" bestFit="1" customWidth="1"/>
    <col min="3" max="3" width="16" bestFit="1" customWidth="1"/>
    <col min="4" max="4" width="14" bestFit="1" customWidth="1"/>
    <col min="5" max="5" width="11.5703125" bestFit="1" customWidth="1"/>
  </cols>
  <sheetData>
    <row r="1" spans="1:5" x14ac:dyDescent="0.25">
      <c r="A1" t="s">
        <v>332</v>
      </c>
    </row>
    <row r="2" spans="1:5" x14ac:dyDescent="0.25">
      <c r="A2" t="s">
        <v>333</v>
      </c>
    </row>
    <row r="4" spans="1:5" x14ac:dyDescent="0.25">
      <c r="B4" s="10" t="s">
        <v>356</v>
      </c>
      <c r="C4" t="s">
        <v>358</v>
      </c>
      <c r="D4" s="13" t="s">
        <v>359</v>
      </c>
      <c r="E4" s="13" t="s">
        <v>360</v>
      </c>
    </row>
    <row r="5" spans="1:5" x14ac:dyDescent="0.25">
      <c r="B5" s="11" t="s">
        <v>23</v>
      </c>
      <c r="C5" s="12">
        <v>76</v>
      </c>
      <c r="D5" cm="1">
        <f t="array" ref="D5:D8">COUNTIFS(FlightOps[Airline],'report 1'!B5:B8,FlightOps[DelayMinutes],"&gt;15")</f>
        <v>34</v>
      </c>
      <c r="E5" s="14">
        <f>(C5-D5)/C5</f>
        <v>0.55263157894736847</v>
      </c>
    </row>
    <row r="6" spans="1:5" x14ac:dyDescent="0.25">
      <c r="B6" s="11" t="s">
        <v>13</v>
      </c>
      <c r="C6" s="12">
        <v>75</v>
      </c>
      <c r="D6">
        <v>29</v>
      </c>
      <c r="E6" s="14">
        <f t="shared" ref="E6:E8" si="0">(C6-D6)/C6</f>
        <v>0.61333333333333329</v>
      </c>
    </row>
    <row r="7" spans="1:5" x14ac:dyDescent="0.25">
      <c r="B7" s="11" t="s">
        <v>33</v>
      </c>
      <c r="C7" s="12">
        <v>68</v>
      </c>
      <c r="D7">
        <v>35</v>
      </c>
      <c r="E7" s="14">
        <f t="shared" si="0"/>
        <v>0.48529411764705882</v>
      </c>
    </row>
    <row r="8" spans="1:5" x14ac:dyDescent="0.25">
      <c r="B8" s="11" t="s">
        <v>42</v>
      </c>
      <c r="C8" s="12">
        <v>61</v>
      </c>
      <c r="D8">
        <v>22</v>
      </c>
      <c r="E8" s="14">
        <f t="shared" si="0"/>
        <v>0.63934426229508201</v>
      </c>
    </row>
    <row r="9" spans="1:5" x14ac:dyDescent="0.25">
      <c r="B9" s="11" t="s">
        <v>357</v>
      </c>
      <c r="C9" s="12">
        <v>280</v>
      </c>
      <c r="D9" s="41">
        <f>SUM(_xlfn.ANCHORARRAY(D5))</f>
        <v>120</v>
      </c>
      <c r="E9" s="42">
        <f>(C9-D9)/C9</f>
        <v>0.5714285714285714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E9CCB-B548-4C1D-BD12-F5AC52C9E0FF}">
  <dimension ref="A1:B12"/>
  <sheetViews>
    <sheetView workbookViewId="0">
      <selection activeCell="B9" sqref="B9"/>
    </sheetView>
  </sheetViews>
  <sheetFormatPr defaultRowHeight="15" x14ac:dyDescent="0.25"/>
  <cols>
    <col min="1" max="1" width="17.42578125" bestFit="1" customWidth="1"/>
    <col min="2" max="2" width="14.42578125" bestFit="1" customWidth="1"/>
  </cols>
  <sheetData>
    <row r="1" spans="1:2" x14ac:dyDescent="0.25">
      <c r="A1" t="s">
        <v>335</v>
      </c>
    </row>
    <row r="2" spans="1:2" x14ac:dyDescent="0.25">
      <c r="A2" t="s">
        <v>336</v>
      </c>
    </row>
    <row r="4" spans="1:2" x14ac:dyDescent="0.25">
      <c r="A4" s="13" t="s">
        <v>362</v>
      </c>
      <c r="B4" s="13" t="s">
        <v>364</v>
      </c>
    </row>
    <row r="5" spans="1:2" x14ac:dyDescent="0.25">
      <c r="A5" t="str" cm="1">
        <f t="array" ref="A5:A12">_xlfn.UNIQUE(FlightOps[Route])</f>
        <v>Karachi-Islamabad</v>
      </c>
      <c r="B5" s="14" cm="1">
        <f t="array" ref="B5:B12">AVERAGEIFS(FlightOps[LoadFactor],FlightOps[Route],_xlfn.ANCHORARRAY('Report 2'!A5))</f>
        <v>0.70106915933528824</v>
      </c>
    </row>
    <row r="6" spans="1:2" x14ac:dyDescent="0.25">
      <c r="A6" t="str">
        <v>Lahore-Islamabad</v>
      </c>
      <c r="B6" s="14">
        <v>0.62891255747438557</v>
      </c>
    </row>
    <row r="7" spans="1:2" x14ac:dyDescent="0.25">
      <c r="A7" t="str">
        <v>Lahore-London</v>
      </c>
      <c r="B7" s="14">
        <v>0.66972579391934228</v>
      </c>
    </row>
    <row r="8" spans="1:2" x14ac:dyDescent="0.25">
      <c r="A8" t="str">
        <v>Lahore-Dubai</v>
      </c>
      <c r="B8" s="14">
        <v>0.69294110459433034</v>
      </c>
    </row>
    <row r="9" spans="1:2" x14ac:dyDescent="0.25">
      <c r="A9" t="str">
        <v>Karachi-Dubai</v>
      </c>
      <c r="B9" s="14">
        <v>0.71280484748226691</v>
      </c>
    </row>
    <row r="10" spans="1:2" x14ac:dyDescent="0.25">
      <c r="A10" t="str">
        <v>Karachi-Jeddah</v>
      </c>
      <c r="B10" s="14">
        <v>0.6553522527956297</v>
      </c>
    </row>
    <row r="11" spans="1:2" x14ac:dyDescent="0.25">
      <c r="A11" t="str">
        <v>Karachi-Lahore</v>
      </c>
      <c r="B11" s="14">
        <v>0.63413041707396567</v>
      </c>
    </row>
    <row r="12" spans="1:2" x14ac:dyDescent="0.25">
      <c r="A12" t="str">
        <v>Islamabad-Jeddah</v>
      </c>
      <c r="B12" s="14">
        <v>0.68483626588465285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A7FDE-52B7-4904-B8C5-141613BBF600}">
  <dimension ref="A1:B9"/>
  <sheetViews>
    <sheetView workbookViewId="0">
      <selection activeCell="N2" sqref="N2"/>
    </sheetView>
  </sheetViews>
  <sheetFormatPr defaultRowHeight="15" x14ac:dyDescent="0.25"/>
  <cols>
    <col min="1" max="1" width="17.140625" customWidth="1"/>
  </cols>
  <sheetData>
    <row r="1" spans="1:2" x14ac:dyDescent="0.25">
      <c r="A1" t="s">
        <v>338</v>
      </c>
    </row>
    <row r="2" spans="1:2" x14ac:dyDescent="0.25">
      <c r="A2" t="s">
        <v>339</v>
      </c>
    </row>
    <row r="5" spans="1:2" x14ac:dyDescent="0.25">
      <c r="A5" t="s">
        <v>11</v>
      </c>
      <c r="B5" t="s">
        <v>365</v>
      </c>
    </row>
    <row r="6" spans="1:2" x14ac:dyDescent="0.25">
      <c r="A6" t="s">
        <v>21</v>
      </c>
      <c r="B6" cm="1">
        <f t="array" ref="B6:B9">COUNTIF(FlightOps[DelayReason],'Report 3'!A6:A9)</f>
        <v>46</v>
      </c>
    </row>
    <row r="7" spans="1:2" x14ac:dyDescent="0.25">
      <c r="A7" t="s">
        <v>26</v>
      </c>
      <c r="B7">
        <v>48</v>
      </c>
    </row>
    <row r="8" spans="1:2" x14ac:dyDescent="0.25">
      <c r="A8" t="s">
        <v>39</v>
      </c>
      <c r="B8">
        <v>45</v>
      </c>
    </row>
    <row r="9" spans="1:2" x14ac:dyDescent="0.25">
      <c r="A9" t="s">
        <v>49</v>
      </c>
      <c r="B9">
        <v>54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910A4-76DE-4A61-82A7-BC092EDF04F8}">
  <dimension ref="A1:D9"/>
  <sheetViews>
    <sheetView workbookViewId="0">
      <selection activeCell="A3" sqref="A3"/>
    </sheetView>
  </sheetViews>
  <sheetFormatPr defaultRowHeight="15" x14ac:dyDescent="0.25"/>
  <cols>
    <col min="1" max="1" width="15.5703125" bestFit="1" customWidth="1"/>
    <col min="2" max="2" width="16.28515625" bestFit="1" customWidth="1"/>
    <col min="3" max="6" width="12" bestFit="1" customWidth="1"/>
  </cols>
  <sheetData>
    <row r="1" spans="1:4" x14ac:dyDescent="0.25">
      <c r="A1" t="s">
        <v>341</v>
      </c>
    </row>
    <row r="2" spans="1:4" x14ac:dyDescent="0.25">
      <c r="A2" t="s">
        <v>342</v>
      </c>
    </row>
    <row r="3" spans="1:4" x14ac:dyDescent="0.25">
      <c r="A3" s="10" t="s">
        <v>366</v>
      </c>
      <c r="B3" s="10" t="s">
        <v>367</v>
      </c>
    </row>
    <row r="4" spans="1:4" x14ac:dyDescent="0.25">
      <c r="A4" s="10" t="s">
        <v>356</v>
      </c>
      <c r="B4" t="s">
        <v>25</v>
      </c>
      <c r="C4" t="s">
        <v>17</v>
      </c>
      <c r="D4" t="s">
        <v>357</v>
      </c>
    </row>
    <row r="5" spans="1:4" x14ac:dyDescent="0.25">
      <c r="A5" s="11" t="s">
        <v>23</v>
      </c>
      <c r="B5" s="12">
        <v>84948036.900000006</v>
      </c>
      <c r="C5" s="12">
        <v>45480784.640000008</v>
      </c>
      <c r="D5" s="12">
        <v>130428821.54000002</v>
      </c>
    </row>
    <row r="6" spans="1:4" x14ac:dyDescent="0.25">
      <c r="A6" s="11" t="s">
        <v>13</v>
      </c>
      <c r="B6" s="12">
        <v>114985909.05000001</v>
      </c>
      <c r="C6" s="12">
        <v>25504547.859999999</v>
      </c>
      <c r="D6" s="12">
        <v>140490456.91000003</v>
      </c>
    </row>
    <row r="7" spans="1:4" x14ac:dyDescent="0.25">
      <c r="A7" s="11" t="s">
        <v>42</v>
      </c>
      <c r="B7" s="12">
        <v>84296398.450000018</v>
      </c>
      <c r="C7" s="12">
        <v>27394053.689999998</v>
      </c>
      <c r="D7" s="12">
        <v>111690452.14000002</v>
      </c>
    </row>
    <row r="8" spans="1:4" x14ac:dyDescent="0.25">
      <c r="A8" s="11" t="s">
        <v>33</v>
      </c>
      <c r="B8" s="12">
        <v>109653060.92</v>
      </c>
      <c r="C8" s="12">
        <v>48882409.370000005</v>
      </c>
      <c r="D8" s="12">
        <v>158535470.29000002</v>
      </c>
    </row>
    <row r="9" spans="1:4" x14ac:dyDescent="0.25">
      <c r="A9" s="11" t="s">
        <v>357</v>
      </c>
      <c r="B9" s="12">
        <v>393883405.32000005</v>
      </c>
      <c r="C9" s="12">
        <v>147261795.56</v>
      </c>
      <c r="D9" s="12">
        <v>541145200.88000011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F6E1C-B3B3-4A6A-95E3-877E2187E8FB}">
  <dimension ref="A1:C24"/>
  <sheetViews>
    <sheetView workbookViewId="0">
      <selection activeCell="J22" sqref="J22"/>
    </sheetView>
  </sheetViews>
  <sheetFormatPr defaultRowHeight="15" x14ac:dyDescent="0.25"/>
  <cols>
    <col min="1" max="1" width="10.140625" customWidth="1"/>
    <col min="3" max="3" width="15.5703125" bestFit="1" customWidth="1"/>
    <col min="4" max="4" width="11.28515625" bestFit="1" customWidth="1"/>
  </cols>
  <sheetData>
    <row r="1" spans="1:3" x14ac:dyDescent="0.25">
      <c r="A1" t="s">
        <v>344</v>
      </c>
    </row>
    <row r="2" spans="1:3" x14ac:dyDescent="0.25">
      <c r="A2" t="s">
        <v>345</v>
      </c>
    </row>
    <row r="4" spans="1:3" x14ac:dyDescent="0.25">
      <c r="B4" t="s">
        <v>370</v>
      </c>
      <c r="C4" t="s">
        <v>371</v>
      </c>
    </row>
    <row r="5" spans="1:3" x14ac:dyDescent="0.25">
      <c r="B5">
        <v>4</v>
      </c>
      <c r="C5">
        <f>COUNTIFS(FlightOps[DepartureHour],Table2[[#This Row],[Hours]])</f>
        <v>11</v>
      </c>
    </row>
    <row r="6" spans="1:3" x14ac:dyDescent="0.25">
      <c r="B6">
        <v>5</v>
      </c>
      <c r="C6">
        <f>COUNTIFS(FlightOps[DepartureHour],Table2[[#This Row],[Hours]])</f>
        <v>20</v>
      </c>
    </row>
    <row r="7" spans="1:3" x14ac:dyDescent="0.25">
      <c r="B7">
        <v>6</v>
      </c>
      <c r="C7">
        <f>COUNTIFS(FlightOps[DepartureHour],Table2[[#This Row],[Hours]])</f>
        <v>15</v>
      </c>
    </row>
    <row r="8" spans="1:3" x14ac:dyDescent="0.25">
      <c r="B8">
        <v>7</v>
      </c>
      <c r="C8">
        <f>COUNTIFS(FlightOps[DepartureHour],Table2[[#This Row],[Hours]])</f>
        <v>10</v>
      </c>
    </row>
    <row r="9" spans="1:3" x14ac:dyDescent="0.25">
      <c r="B9">
        <v>8</v>
      </c>
      <c r="C9">
        <f>COUNTIFS(FlightOps[DepartureHour],Table2[[#This Row],[Hours]])</f>
        <v>10</v>
      </c>
    </row>
    <row r="10" spans="1:3" x14ac:dyDescent="0.25">
      <c r="B10">
        <v>9</v>
      </c>
      <c r="C10">
        <f>COUNTIFS(FlightOps[DepartureHour],Table2[[#This Row],[Hours]])</f>
        <v>19</v>
      </c>
    </row>
    <row r="11" spans="1:3" x14ac:dyDescent="0.25">
      <c r="B11">
        <v>10</v>
      </c>
      <c r="C11">
        <f>COUNTIFS(FlightOps[DepartureHour],Table2[[#This Row],[Hours]])</f>
        <v>16</v>
      </c>
    </row>
    <row r="12" spans="1:3" x14ac:dyDescent="0.25">
      <c r="B12">
        <v>11</v>
      </c>
      <c r="C12">
        <f>COUNTIFS(FlightOps[DepartureHour],Table2[[#This Row],[Hours]])</f>
        <v>10</v>
      </c>
    </row>
    <row r="13" spans="1:3" x14ac:dyDescent="0.25">
      <c r="B13">
        <v>12</v>
      </c>
      <c r="C13">
        <f>COUNTIFS(FlightOps[DepartureHour],Table2[[#This Row],[Hours]])</f>
        <v>13</v>
      </c>
    </row>
    <row r="14" spans="1:3" x14ac:dyDescent="0.25">
      <c r="B14">
        <v>13</v>
      </c>
      <c r="C14">
        <f>COUNTIFS(FlightOps[DepartureHour],Table2[[#This Row],[Hours]])</f>
        <v>14</v>
      </c>
    </row>
    <row r="15" spans="1:3" x14ac:dyDescent="0.25">
      <c r="B15">
        <v>14</v>
      </c>
      <c r="C15">
        <f>COUNTIFS(FlightOps[DepartureHour],Table2[[#This Row],[Hours]])</f>
        <v>10</v>
      </c>
    </row>
    <row r="16" spans="1:3" x14ac:dyDescent="0.25">
      <c r="B16">
        <v>15</v>
      </c>
      <c r="C16">
        <f>COUNTIFS(FlightOps[DepartureHour],Table2[[#This Row],[Hours]])</f>
        <v>17</v>
      </c>
    </row>
    <row r="17" spans="2:3" x14ac:dyDescent="0.25">
      <c r="B17">
        <v>16</v>
      </c>
      <c r="C17">
        <f>COUNTIFS(FlightOps[DepartureHour],Table2[[#This Row],[Hours]])</f>
        <v>13</v>
      </c>
    </row>
    <row r="18" spans="2:3" x14ac:dyDescent="0.25">
      <c r="B18">
        <v>17</v>
      </c>
      <c r="C18">
        <f>COUNTIFS(FlightOps[DepartureHour],Table2[[#This Row],[Hours]])</f>
        <v>9</v>
      </c>
    </row>
    <row r="19" spans="2:3" x14ac:dyDescent="0.25">
      <c r="B19">
        <v>18</v>
      </c>
      <c r="C19">
        <f>COUNTIFS(FlightOps[DepartureHour],Table2[[#This Row],[Hours]])</f>
        <v>14</v>
      </c>
    </row>
    <row r="20" spans="2:3" x14ac:dyDescent="0.25">
      <c r="B20">
        <v>19</v>
      </c>
      <c r="C20">
        <f>COUNTIFS(FlightOps[DepartureHour],Table2[[#This Row],[Hours]])</f>
        <v>15</v>
      </c>
    </row>
    <row r="21" spans="2:3" x14ac:dyDescent="0.25">
      <c r="B21">
        <v>20</v>
      </c>
      <c r="C21">
        <f>COUNTIFS(FlightOps[DepartureHour],Table2[[#This Row],[Hours]])</f>
        <v>18</v>
      </c>
    </row>
    <row r="22" spans="2:3" x14ac:dyDescent="0.25">
      <c r="B22">
        <v>21</v>
      </c>
      <c r="C22">
        <f>COUNTIFS(FlightOps[DepartureHour],Table2[[#This Row],[Hours]])</f>
        <v>20</v>
      </c>
    </row>
    <row r="23" spans="2:3" x14ac:dyDescent="0.25">
      <c r="B23">
        <v>22</v>
      </c>
      <c r="C23">
        <f>COUNTIFS(FlightOps[DepartureHour],Table2[[#This Row],[Hours]])</f>
        <v>11</v>
      </c>
    </row>
    <row r="24" spans="2:3" x14ac:dyDescent="0.25">
      <c r="B24">
        <v>23</v>
      </c>
      <c r="C24">
        <f>COUNTIFS(FlightOps[DepartureHour],Table2[[#This Row],[Hours]])</f>
        <v>15</v>
      </c>
    </row>
  </sheetData>
  <sortState xmlns:xlrd2="http://schemas.microsoft.com/office/spreadsheetml/2017/richdata2" ref="A5:B24">
    <sortCondition ref="B5:B24"/>
  </sortState>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C83CD-8EA0-4BC0-842F-A612B508E5EA}">
  <dimension ref="A1:M20"/>
  <sheetViews>
    <sheetView zoomScaleNormal="100" workbookViewId="0">
      <selection activeCell="C4" sqref="C4"/>
    </sheetView>
  </sheetViews>
  <sheetFormatPr defaultRowHeight="15" x14ac:dyDescent="0.25"/>
  <cols>
    <col min="1" max="1" width="12.7109375" customWidth="1"/>
    <col min="2" max="2" width="16.85546875" customWidth="1"/>
    <col min="3" max="3" width="18.28515625" customWidth="1"/>
    <col min="4" max="4" width="14.42578125" bestFit="1" customWidth="1"/>
    <col min="10" max="10" width="17.42578125" bestFit="1" customWidth="1"/>
    <col min="11" max="11" width="18.28515625" bestFit="1" customWidth="1"/>
    <col min="12" max="12" width="17" bestFit="1" customWidth="1"/>
    <col min="13" max="13" width="14.42578125" bestFit="1" customWidth="1"/>
  </cols>
  <sheetData>
    <row r="1" spans="1:13" x14ac:dyDescent="0.25">
      <c r="A1" s="37" t="s">
        <v>347</v>
      </c>
      <c r="B1" s="37"/>
      <c r="C1" s="37"/>
      <c r="D1" s="37"/>
      <c r="E1" s="37"/>
      <c r="F1" s="37"/>
      <c r="G1" s="37"/>
      <c r="H1" s="37"/>
      <c r="I1" s="37"/>
    </row>
    <row r="2" spans="1:13" ht="31.5" customHeight="1" x14ac:dyDescent="0.25">
      <c r="A2" s="38" t="s">
        <v>348</v>
      </c>
      <c r="B2" s="38"/>
      <c r="C2" s="38"/>
      <c r="D2" s="38"/>
      <c r="E2" s="38"/>
      <c r="F2" s="38"/>
      <c r="G2" s="38"/>
      <c r="H2" s="38"/>
      <c r="I2" s="38"/>
    </row>
    <row r="3" spans="1:13" x14ac:dyDescent="0.25">
      <c r="J3" s="43"/>
      <c r="K3" s="44"/>
      <c r="L3" s="44"/>
      <c r="M3" s="44"/>
    </row>
    <row r="4" spans="1:13" x14ac:dyDescent="0.25">
      <c r="B4" s="29" t="s">
        <v>2</v>
      </c>
      <c r="C4" s="30" t="s">
        <v>24</v>
      </c>
      <c r="J4" s="44"/>
      <c r="K4" s="44"/>
      <c r="L4" s="44"/>
      <c r="M4" s="44"/>
    </row>
    <row r="5" spans="1:13" x14ac:dyDescent="0.25">
      <c r="J5" s="44"/>
      <c r="K5" s="44"/>
      <c r="L5" s="44"/>
      <c r="M5" s="44"/>
    </row>
    <row r="6" spans="1:13" x14ac:dyDescent="0.25">
      <c r="B6" s="29" t="s">
        <v>3</v>
      </c>
      <c r="C6" s="31" t="s">
        <v>24</v>
      </c>
      <c r="J6" s="44"/>
      <c r="K6" s="44"/>
      <c r="L6" s="45"/>
      <c r="M6" s="46"/>
    </row>
    <row r="7" spans="1:13" x14ac:dyDescent="0.25">
      <c r="J7" s="44"/>
      <c r="K7" s="44"/>
      <c r="L7" s="45"/>
      <c r="M7" s="46"/>
    </row>
    <row r="8" spans="1:13" x14ac:dyDescent="0.25">
      <c r="J8" s="44"/>
      <c r="K8" s="44"/>
      <c r="L8" s="45"/>
      <c r="M8" s="46"/>
    </row>
    <row r="9" spans="1:13" x14ac:dyDescent="0.25">
      <c r="B9" s="32" t="s">
        <v>372</v>
      </c>
      <c r="C9" s="32" t="s">
        <v>373</v>
      </c>
      <c r="D9" s="32" t="s">
        <v>364</v>
      </c>
      <c r="J9" s="44"/>
      <c r="K9" s="44"/>
      <c r="L9" s="45"/>
      <c r="M9" s="46"/>
    </row>
    <row r="10" spans="1:13" x14ac:dyDescent="0.25">
      <c r="B10" s="33">
        <f>COUNTIFS(FlightOps[Origin],'report 6'!C4,FlightOps[Destination],'report 6'!C6)</f>
        <v>0</v>
      </c>
      <c r="C10" s="34">
        <f>IFERROR(AVERAGEIFS(FlightOps[DelayMinutes],FlightOps[Origin],'report 6'!C4,FlightOps[Destination],'report 6'!C6),0)</f>
        <v>0</v>
      </c>
      <c r="D10" s="35">
        <f>IFERROR(AVERAGEIFS(FlightOps[LoadFactor],FlightOps[Origin],'report 6'!C4,FlightOps[Destination],'report 6'!C6),0)</f>
        <v>0</v>
      </c>
      <c r="J10" s="44"/>
      <c r="K10" s="44"/>
      <c r="L10" s="45"/>
      <c r="M10" s="46"/>
    </row>
    <row r="11" spans="1:13" x14ac:dyDescent="0.25">
      <c r="J11" s="44"/>
      <c r="K11" s="44"/>
      <c r="L11" s="45"/>
      <c r="M11" s="46"/>
    </row>
    <row r="12" spans="1:13" x14ac:dyDescent="0.25">
      <c r="J12" s="44"/>
      <c r="K12" s="44"/>
      <c r="L12" s="45"/>
      <c r="M12" s="46"/>
    </row>
    <row r="13" spans="1:13" x14ac:dyDescent="0.25">
      <c r="J13" s="44"/>
      <c r="K13" s="44"/>
      <c r="L13" s="45"/>
      <c r="M13" s="46"/>
    </row>
    <row r="14" spans="1:13" x14ac:dyDescent="0.25">
      <c r="J14" s="44"/>
      <c r="K14" s="44"/>
      <c r="L14" s="44"/>
      <c r="M14" s="44"/>
    </row>
    <row r="15" spans="1:13" x14ac:dyDescent="0.25">
      <c r="J15" s="43"/>
      <c r="K15" s="44"/>
      <c r="L15" s="44"/>
      <c r="M15" s="44"/>
    </row>
    <row r="16" spans="1:13" x14ac:dyDescent="0.25">
      <c r="J16" s="44"/>
      <c r="K16" s="44"/>
      <c r="L16" s="44"/>
      <c r="M16" s="44"/>
    </row>
    <row r="17" spans="10:13" x14ac:dyDescent="0.25">
      <c r="J17" s="44"/>
      <c r="K17" s="44"/>
      <c r="L17" s="44"/>
      <c r="M17" s="44"/>
    </row>
    <row r="18" spans="10:13" x14ac:dyDescent="0.25">
      <c r="J18" s="44"/>
      <c r="K18" s="44"/>
      <c r="L18" s="44"/>
      <c r="M18" s="44"/>
    </row>
    <row r="19" spans="10:13" x14ac:dyDescent="0.25">
      <c r="J19" s="44"/>
      <c r="K19" s="44"/>
      <c r="L19" s="44"/>
      <c r="M19" s="44"/>
    </row>
    <row r="20" spans="10:13" x14ac:dyDescent="0.25">
      <c r="J20" s="44"/>
      <c r="K20" s="44"/>
      <c r="L20" s="44"/>
      <c r="M20" s="46"/>
    </row>
  </sheetData>
  <mergeCells count="2">
    <mergeCell ref="A1:I1"/>
    <mergeCell ref="A2:I2"/>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BCA3A6F-9682-4429-93FB-EE48B01281E5}">
          <x14:formula1>
            <xm:f>Dataset!$D$3:$D$282</xm:f>
          </x14:formula1>
          <xm:sqref>C6</xm:sqref>
        </x14:dataValidation>
        <x14:dataValidation type="list" allowBlank="1" showInputMessage="1" showErrorMessage="1" xr:uid="{79330F68-68A0-444F-A6B3-EC548516EB0A}">
          <x14:formula1>
            <xm:f>Dataset!$C$3:$C$282</xm:f>
          </x14:formula1>
          <xm:sqref>C4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AFE54-825B-4D20-8EE8-A98A79EDB6E5}">
  <dimension ref="A1:F10"/>
  <sheetViews>
    <sheetView workbookViewId="0">
      <selection activeCell="B5" sqref="B5"/>
    </sheetView>
  </sheetViews>
  <sheetFormatPr defaultRowHeight="15" x14ac:dyDescent="0.25"/>
  <cols>
    <col min="1" max="1" width="16" bestFit="1" customWidth="1"/>
    <col min="2" max="2" width="16.28515625" bestFit="1" customWidth="1"/>
    <col min="3" max="3" width="11.42578125" bestFit="1" customWidth="1"/>
    <col min="4" max="4" width="6.85546875" bestFit="1" customWidth="1"/>
    <col min="5" max="5" width="10.5703125" bestFit="1" customWidth="1"/>
    <col min="6" max="6" width="11.28515625" bestFit="1" customWidth="1"/>
    <col min="7" max="7" width="13.28515625" bestFit="1" customWidth="1"/>
    <col min="8" max="8" width="9.7109375" bestFit="1" customWidth="1"/>
    <col min="9" max="9" width="4" bestFit="1" customWidth="1"/>
    <col min="10" max="10" width="9.85546875" bestFit="1" customWidth="1"/>
    <col min="11" max="11" width="16.42578125" bestFit="1" customWidth="1"/>
    <col min="12" max="12" width="8.7109375" bestFit="1" customWidth="1"/>
    <col min="13" max="13" width="9.7109375" bestFit="1" customWidth="1"/>
    <col min="14" max="14" width="4" bestFit="1" customWidth="1"/>
    <col min="15" max="15" width="9.85546875" bestFit="1" customWidth="1"/>
    <col min="16" max="16" width="11.7109375" bestFit="1" customWidth="1"/>
    <col min="17" max="17" width="12.42578125" bestFit="1" customWidth="1"/>
    <col min="18" max="18" width="9.7109375" bestFit="1" customWidth="1"/>
    <col min="19" max="19" width="4" bestFit="1" customWidth="1"/>
    <col min="20" max="20" width="9.85546875" bestFit="1" customWidth="1"/>
    <col min="21" max="21" width="15.5703125" bestFit="1" customWidth="1"/>
    <col min="22" max="22" width="11.28515625" bestFit="1" customWidth="1"/>
  </cols>
  <sheetData>
    <row r="1" spans="1:6" x14ac:dyDescent="0.25">
      <c r="A1" t="s">
        <v>350</v>
      </c>
    </row>
    <row r="2" spans="1:6" x14ac:dyDescent="0.25">
      <c r="A2" t="s">
        <v>351</v>
      </c>
    </row>
    <row r="4" spans="1:6" x14ac:dyDescent="0.25">
      <c r="A4" s="10" t="s">
        <v>358</v>
      </c>
      <c r="B4" s="10" t="s">
        <v>375</v>
      </c>
    </row>
    <row r="5" spans="1:6" x14ac:dyDescent="0.25">
      <c r="A5" s="10" t="s">
        <v>374</v>
      </c>
      <c r="B5" t="s">
        <v>35</v>
      </c>
      <c r="C5" t="s">
        <v>31</v>
      </c>
      <c r="D5" t="s">
        <v>20</v>
      </c>
      <c r="E5" t="s">
        <v>16</v>
      </c>
      <c r="F5" t="s">
        <v>357</v>
      </c>
    </row>
    <row r="6" spans="1:6" x14ac:dyDescent="0.25">
      <c r="A6" s="11" t="s">
        <v>23</v>
      </c>
      <c r="B6" s="12">
        <v>17</v>
      </c>
      <c r="C6" s="12">
        <v>18</v>
      </c>
      <c r="D6" s="12">
        <v>21</v>
      </c>
      <c r="E6" s="12">
        <v>20</v>
      </c>
      <c r="F6" s="12">
        <v>76</v>
      </c>
    </row>
    <row r="7" spans="1:6" x14ac:dyDescent="0.25">
      <c r="A7" s="11" t="s">
        <v>13</v>
      </c>
      <c r="B7" s="12">
        <v>23</v>
      </c>
      <c r="C7" s="12">
        <v>22</v>
      </c>
      <c r="D7" s="12">
        <v>17</v>
      </c>
      <c r="E7" s="12">
        <v>13</v>
      </c>
      <c r="F7" s="12">
        <v>75</v>
      </c>
    </row>
    <row r="8" spans="1:6" x14ac:dyDescent="0.25">
      <c r="A8" s="11" t="s">
        <v>42</v>
      </c>
      <c r="B8" s="12">
        <v>12</v>
      </c>
      <c r="C8" s="12">
        <v>16</v>
      </c>
      <c r="D8" s="12">
        <v>16</v>
      </c>
      <c r="E8" s="12">
        <v>17</v>
      </c>
      <c r="F8" s="12">
        <v>61</v>
      </c>
    </row>
    <row r="9" spans="1:6" x14ac:dyDescent="0.25">
      <c r="A9" s="11" t="s">
        <v>33</v>
      </c>
      <c r="B9" s="12">
        <v>13</v>
      </c>
      <c r="C9" s="12">
        <v>22</v>
      </c>
      <c r="D9" s="12">
        <v>16</v>
      </c>
      <c r="E9" s="12">
        <v>17</v>
      </c>
      <c r="F9" s="12">
        <v>68</v>
      </c>
    </row>
    <row r="10" spans="1:6" x14ac:dyDescent="0.25">
      <c r="A10" s="11" t="s">
        <v>357</v>
      </c>
      <c r="B10" s="12">
        <v>65</v>
      </c>
      <c r="C10" s="12">
        <v>78</v>
      </c>
      <c r="D10" s="12">
        <v>70</v>
      </c>
      <c r="E10" s="12">
        <v>67</v>
      </c>
      <c r="F10" s="12">
        <v>280</v>
      </c>
    </row>
  </sheetData>
  <conditionalFormatting pivot="1" sqref="B6:E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1039-A54D-4E2A-B025-E4A1615C04A8}">
  <dimension ref="A1:J10"/>
  <sheetViews>
    <sheetView tabSelected="1" workbookViewId="0">
      <selection activeCell="C9" sqref="C9"/>
    </sheetView>
  </sheetViews>
  <sheetFormatPr defaultRowHeight="15" x14ac:dyDescent="0.25"/>
  <cols>
    <col min="1" max="1" width="10.140625" customWidth="1"/>
    <col min="2" max="2" width="16.7109375" bestFit="1" customWidth="1"/>
  </cols>
  <sheetData>
    <row r="1" spans="1:10" x14ac:dyDescent="0.25">
      <c r="A1" s="39" t="s">
        <v>353</v>
      </c>
      <c r="B1" s="39"/>
      <c r="C1" s="39"/>
      <c r="D1" s="39"/>
      <c r="E1" s="39"/>
      <c r="F1" s="39"/>
      <c r="G1" s="39"/>
      <c r="H1" s="39"/>
      <c r="I1" s="39"/>
      <c r="J1" s="39"/>
    </row>
    <row r="2" spans="1:10" ht="45" customHeight="1" x14ac:dyDescent="0.25">
      <c r="A2" s="40" t="s">
        <v>354</v>
      </c>
      <c r="B2" s="40"/>
      <c r="C2" s="40"/>
      <c r="D2" s="40"/>
      <c r="E2" s="40"/>
      <c r="F2" s="40"/>
      <c r="G2" s="40"/>
      <c r="H2" s="40"/>
      <c r="I2" s="40"/>
      <c r="J2" s="40"/>
    </row>
    <row r="5" spans="1:10" x14ac:dyDescent="0.25">
      <c r="B5" s="28" t="s">
        <v>376</v>
      </c>
    </row>
    <row r="6" spans="1:10" x14ac:dyDescent="0.25">
      <c r="B6">
        <v>30</v>
      </c>
    </row>
    <row r="9" spans="1:10" x14ac:dyDescent="0.25">
      <c r="B9" t="s">
        <v>377</v>
      </c>
      <c r="C9" t="s">
        <v>379</v>
      </c>
    </row>
    <row r="10" spans="1:10" x14ac:dyDescent="0.25">
      <c r="B10" s="47">
        <f>COUNTIFS(FlightOps[DelayMinutes],"&gt;"&amp;B6)</f>
        <v>63</v>
      </c>
      <c r="C10" s="14">
        <f>COUNTIFS(FlightOps[DelayMinutes],"&gt;"&amp;B6)/COUNTA(FlightOps[FlightID])</f>
        <v>0.22500000000000001</v>
      </c>
    </row>
  </sheetData>
  <mergeCells count="2">
    <mergeCell ref="A1:J1"/>
    <mergeCell ref="A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Brief</vt:lpstr>
      <vt:lpstr>Dataset</vt:lpstr>
      <vt:lpstr>report 1</vt:lpstr>
      <vt:lpstr>Report 2</vt:lpstr>
      <vt:lpstr>Report 3</vt:lpstr>
      <vt:lpstr>report 4</vt:lpstr>
      <vt:lpstr>report 5</vt:lpstr>
      <vt:lpstr>report 6</vt:lpstr>
      <vt:lpstr>report 7</vt:lpstr>
      <vt:lpstr>report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Amanullah channa</cp:lastModifiedBy>
  <cp:revision>0</cp:revision>
  <dcterms:created xsi:type="dcterms:W3CDTF">2026-06-14T19:56:36Z</dcterms:created>
  <dcterms:modified xsi:type="dcterms:W3CDTF">2026-07-15T06:31:11Z</dcterms:modified>
  <dc:language>en-US</dc:language>
</cp:coreProperties>
</file>